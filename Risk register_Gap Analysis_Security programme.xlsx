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ekeuz\Desktop\MSc Cyber Security\Semester 1\CMM517 (Information security management)\Assessment Information\Submitted\"/>
    </mc:Choice>
  </mc:AlternateContent>
  <xr:revisionPtr revIDLastSave="0" documentId="13_ncr:1_{11F0E47A-C06C-4C7B-817D-3B12753AF527}" xr6:coauthVersionLast="47" xr6:coauthVersionMax="47" xr10:uidLastSave="{00000000-0000-0000-0000-000000000000}"/>
  <bookViews>
    <workbookView xWindow="-108" yWindow="-108" windowWidth="23256" windowHeight="12456" tabRatio="573" activeTab="1" xr2:uid="{00000000-000D-0000-FFFF-FFFF00000000}"/>
  </bookViews>
  <sheets>
    <sheet name="Risk Register" sheetId="7" r:id="rId1"/>
    <sheet name="Annex A controls &amp; Gap Analysis" sheetId="3" r:id="rId2"/>
    <sheet name="Security Programme" sheetId="9" r:id="rId3"/>
  </sheets>
  <definedNames>
    <definedName name="__xlnm._FilterDatabase" localSheetId="1">'Annex A controls &amp; Gap Analysis'!$A$2:$E$99</definedName>
    <definedName name="__xlnm._FilterDatabase_1">'Annex A controls &amp; Gap Analysis'!$A$2:$E$99</definedName>
    <definedName name="__xlnm.Print_Titles" localSheetId="1">'Annex A controls &amp; Gap Analysis'!$A$2:$IP$2</definedName>
    <definedName name="_xlnm._FilterDatabase" localSheetId="1" hidden="1">'Annex A controls &amp; Gap Analysis'!$B$2:$E$100</definedName>
    <definedName name="Applicability">#REF!</definedName>
    <definedName name="CMM">#REF!</definedName>
    <definedName name="ControlTotal">'Annex A controls &amp; Gap Analysis'!$D$100</definedName>
    <definedName name="Excel_BuiltIn_Print_Titles" localSheetId="1">'Annex A controls &amp; Gap Analysis'!$A$2:$IP$2</definedName>
    <definedName name="_xlnm.Print_Area" localSheetId="1">'Annex A controls &amp; Gap Analysis'!$B$1:$E$100</definedName>
    <definedName name="_xlnm.Print_Titles" localSheetId="1">'Annex A controls &amp; Gap Analysis'!$1:$2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3" l="1"/>
  <c r="J17" i="3"/>
  <c r="I17" i="3"/>
  <c r="D10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1000000}">
      <text>
        <r>
          <rPr>
            <b/>
            <sz val="14"/>
            <color indexed="8"/>
            <rFont val="Tahoma"/>
            <family val="2"/>
          </rPr>
          <t>Select from drop down box</t>
        </r>
      </text>
    </comment>
  </commentList>
</comments>
</file>

<file path=xl/sharedStrings.xml><?xml version="1.0" encoding="utf-8"?>
<sst xmlns="http://schemas.openxmlformats.org/spreadsheetml/2006/main" count="1501" uniqueCount="838">
  <si>
    <t>Status</t>
  </si>
  <si>
    <t>Meaning</t>
  </si>
  <si>
    <t>Nonexistent</t>
  </si>
  <si>
    <t>Not applicable</t>
  </si>
  <si>
    <t>Section</t>
  </si>
  <si>
    <t>The requirement is fully satisfied, is operating fully as expected, is being actively monitored and improved, and there is substantial evidence to prove all that to the auditors</t>
  </si>
  <si>
    <t>? Unknown</t>
  </si>
  <si>
    <t>A5</t>
  </si>
  <si>
    <t>A6</t>
  </si>
  <si>
    <t>Policies for information security</t>
  </si>
  <si>
    <t>Information security roles and responsibilities</t>
  </si>
  <si>
    <t>Segregation of duties</t>
  </si>
  <si>
    <t>Contact with authorities</t>
  </si>
  <si>
    <t>Contact with special interest groups</t>
  </si>
  <si>
    <t>A7</t>
  </si>
  <si>
    <t>Screening</t>
  </si>
  <si>
    <t>Terms and conditions of employment</t>
  </si>
  <si>
    <t>Management responsibilities</t>
  </si>
  <si>
    <t>A8</t>
  </si>
  <si>
    <t>Information security awareness, education and training</t>
  </si>
  <si>
    <t>Disciplinary process</t>
  </si>
  <si>
    <t>Return of assets</t>
  </si>
  <si>
    <t>Classification of information</t>
  </si>
  <si>
    <t>Labelling of information</t>
  </si>
  <si>
    <t>Access control</t>
  </si>
  <si>
    <t>Information security control</t>
  </si>
  <si>
    <t>Information access restriction</t>
  </si>
  <si>
    <t>Use of privileged utility programs</t>
  </si>
  <si>
    <t>Securing offices, rooms and facilities</t>
  </si>
  <si>
    <t>Working in secure areas</t>
  </si>
  <si>
    <t>Equipment siting and protection</t>
  </si>
  <si>
    <t>Supporting utilities</t>
  </si>
  <si>
    <t>Cabling security</t>
  </si>
  <si>
    <t>Equipment maintenance</t>
  </si>
  <si>
    <t>Documented operating procedures</t>
  </si>
  <si>
    <t>Change management</t>
  </si>
  <si>
    <t>Capacity management</t>
  </si>
  <si>
    <t>Information backup</t>
  </si>
  <si>
    <t>Statement of Applicability and status of information security controls</t>
  </si>
  <si>
    <t>Installation of software on operational systems</t>
  </si>
  <si>
    <t>Management of technical vulnerabilities</t>
  </si>
  <si>
    <t>Security of network services</t>
  </si>
  <si>
    <t>Information transfer</t>
  </si>
  <si>
    <t>Outsourced development</t>
  </si>
  <si>
    <t>Information security in supplier relationships</t>
  </si>
  <si>
    <t>Response to information security incidents</t>
  </si>
  <si>
    <t>Learning from information security incidents</t>
  </si>
  <si>
    <t>Collection of evidence</t>
  </si>
  <si>
    <t>Intellectual property rights</t>
  </si>
  <si>
    <t>Protection of records</t>
  </si>
  <si>
    <t>Independent review of information security</t>
  </si>
  <si>
    <t>Organizational controls</t>
  </si>
  <si>
    <t>People controls</t>
  </si>
  <si>
    <t>Physical controls</t>
  </si>
  <si>
    <t>Technological controls</t>
  </si>
  <si>
    <t>A.5.1</t>
  </si>
  <si>
    <t>A.5.2</t>
  </si>
  <si>
    <t>A.5.3</t>
  </si>
  <si>
    <t>A.5.4</t>
  </si>
  <si>
    <t>A.5.5</t>
  </si>
  <si>
    <t>A.5.6</t>
  </si>
  <si>
    <t>A.5.7</t>
  </si>
  <si>
    <t>Threat intelligence</t>
  </si>
  <si>
    <t>A.5.8</t>
  </si>
  <si>
    <t>Information security in projectmanagement</t>
  </si>
  <si>
    <t>A.5.9</t>
  </si>
  <si>
    <t>Inventory of information and other associated assets</t>
  </si>
  <si>
    <t>A.5.10</t>
  </si>
  <si>
    <t>Acceptable use of information and other associated assets</t>
  </si>
  <si>
    <t>A.5.11</t>
  </si>
  <si>
    <t>A.5.12</t>
  </si>
  <si>
    <t>A.5.13</t>
  </si>
  <si>
    <t>A.5.14</t>
  </si>
  <si>
    <t>A.5.15</t>
  </si>
  <si>
    <t>A.5.16</t>
  </si>
  <si>
    <t>Identity management</t>
  </si>
  <si>
    <t>A.5.17</t>
  </si>
  <si>
    <t>Authentication information</t>
  </si>
  <si>
    <t>A.5.18</t>
  </si>
  <si>
    <t>Access rights</t>
  </si>
  <si>
    <t>A.5.19</t>
  </si>
  <si>
    <t>A.5.20</t>
  </si>
  <si>
    <t>Addressing information security within supplier agreements</t>
  </si>
  <si>
    <t>A.5.21</t>
  </si>
  <si>
    <t>A.5.22</t>
  </si>
  <si>
    <t>Monitoring, review and change management of supplier services</t>
  </si>
  <si>
    <t>A.5.23</t>
  </si>
  <si>
    <t>Information security for use of cloud services</t>
  </si>
  <si>
    <t>A.5.24</t>
  </si>
  <si>
    <t>Information security incident management planning and preparation</t>
  </si>
  <si>
    <t>A.5.25</t>
  </si>
  <si>
    <t>Assessment and decision on information security events</t>
  </si>
  <si>
    <t>A.5.26</t>
  </si>
  <si>
    <t>A.5.27</t>
  </si>
  <si>
    <t>A.5.28</t>
  </si>
  <si>
    <t>A.5.29</t>
  </si>
  <si>
    <t>Information security during disruption</t>
  </si>
  <si>
    <t>A.5.30</t>
  </si>
  <si>
    <t>ICT readiness for business continuity</t>
  </si>
  <si>
    <t>A.5.31</t>
  </si>
  <si>
    <t>Legal, statutory, regulatory and contractual requirements</t>
  </si>
  <si>
    <t>A.5.32</t>
  </si>
  <si>
    <t>A.5.33</t>
  </si>
  <si>
    <t>A.5.34</t>
  </si>
  <si>
    <t>Privacy and protection of personal identifiable information (PII)</t>
  </si>
  <si>
    <t>A.5.35</t>
  </si>
  <si>
    <t>A.5.36</t>
  </si>
  <si>
    <t>Compliance with policies, rules and standards for information security</t>
  </si>
  <si>
    <t>A.5.37</t>
  </si>
  <si>
    <t>A.6.1</t>
  </si>
  <si>
    <t>A.6.2</t>
  </si>
  <si>
    <t>A.6.3</t>
  </si>
  <si>
    <t>A.6.4</t>
  </si>
  <si>
    <t>A.6.5</t>
  </si>
  <si>
    <t>Responsibilities after termination or change of employment</t>
  </si>
  <si>
    <t>A.6.6</t>
  </si>
  <si>
    <t>Confidentiality or non-disclosure agreements</t>
  </si>
  <si>
    <t>A.6.7</t>
  </si>
  <si>
    <t>Remote working</t>
  </si>
  <si>
    <t>A.6.8</t>
  </si>
  <si>
    <t>Information security event reporting</t>
  </si>
  <si>
    <t>Secure disposal or re-use of equipment</t>
  </si>
  <si>
    <t>A.7.14</t>
  </si>
  <si>
    <t>A.7.13</t>
  </si>
  <si>
    <t>A.7.12</t>
  </si>
  <si>
    <t>A.7.11</t>
  </si>
  <si>
    <t>Storage media</t>
  </si>
  <si>
    <t>A.7.10</t>
  </si>
  <si>
    <t>Security of assets off-premises</t>
  </si>
  <si>
    <t>A.7.9</t>
  </si>
  <si>
    <t>A.7.8</t>
  </si>
  <si>
    <t>Clear desk and clear screen</t>
  </si>
  <si>
    <t>A.7.7</t>
  </si>
  <si>
    <t>A.7.6</t>
  </si>
  <si>
    <t>Protecting against physical and environmental threats</t>
  </si>
  <si>
    <t>A.7.5</t>
  </si>
  <si>
    <t>Physical security monitoring</t>
  </si>
  <si>
    <t>A.7.4</t>
  </si>
  <si>
    <t>A.7.3</t>
  </si>
  <si>
    <t>Physical entry</t>
  </si>
  <si>
    <t>A.7.2</t>
  </si>
  <si>
    <t>Physical security perimeters</t>
  </si>
  <si>
    <t>A.7.1</t>
  </si>
  <si>
    <t>A.8.1</t>
  </si>
  <si>
    <t>User end point devices</t>
  </si>
  <si>
    <t>A.8.2</t>
  </si>
  <si>
    <t>Privileged access rights</t>
  </si>
  <si>
    <t>A.8.3</t>
  </si>
  <si>
    <t>A.8.4</t>
  </si>
  <si>
    <t>Access to source code</t>
  </si>
  <si>
    <t>A.8.5</t>
  </si>
  <si>
    <t>Secure authentication</t>
  </si>
  <si>
    <t>A.8.6</t>
  </si>
  <si>
    <t>A.8.7</t>
  </si>
  <si>
    <t>Protection against malware</t>
  </si>
  <si>
    <t>A.8.8</t>
  </si>
  <si>
    <t>A.8.9</t>
  </si>
  <si>
    <t>Configuration management</t>
  </si>
  <si>
    <t>A.8.10</t>
  </si>
  <si>
    <t>Information deletion</t>
  </si>
  <si>
    <t>A.8.11</t>
  </si>
  <si>
    <t>Data masking</t>
  </si>
  <si>
    <t>A.8.12</t>
  </si>
  <si>
    <t>Data leakage prevention</t>
  </si>
  <si>
    <t>A.8.13</t>
  </si>
  <si>
    <t>A.8.14</t>
  </si>
  <si>
    <t>Redundancy of information processing facilities</t>
  </si>
  <si>
    <t>A.8.15</t>
  </si>
  <si>
    <t>Logging</t>
  </si>
  <si>
    <t>A.8.16</t>
  </si>
  <si>
    <t>Monitoring activities</t>
  </si>
  <si>
    <t>A.8.17</t>
  </si>
  <si>
    <t>Clock synchronization</t>
  </si>
  <si>
    <t>A.8.18</t>
  </si>
  <si>
    <t>A.8.19</t>
  </si>
  <si>
    <t>A.8.20</t>
  </si>
  <si>
    <t>Networks security</t>
  </si>
  <si>
    <t>A.8.21</t>
  </si>
  <si>
    <t>A.8.22</t>
  </si>
  <si>
    <t>Segregation of networks</t>
  </si>
  <si>
    <t>A.8.23</t>
  </si>
  <si>
    <t>Web filtering</t>
  </si>
  <si>
    <t>A.8.24</t>
  </si>
  <si>
    <t>Use of cryptography</t>
  </si>
  <si>
    <t>A.8.25</t>
  </si>
  <si>
    <t>Secure development life cycle</t>
  </si>
  <si>
    <t>A.8.26</t>
  </si>
  <si>
    <t>Application security requirements</t>
  </si>
  <si>
    <t>A.8.27</t>
  </si>
  <si>
    <t>Secure system architecture and engineering principles</t>
  </si>
  <si>
    <t>A.8.28</t>
  </si>
  <si>
    <t>Secure coding</t>
  </si>
  <si>
    <t>A.8.29</t>
  </si>
  <si>
    <t>Security testing in development and acceptance</t>
  </si>
  <si>
    <t>A.8.30</t>
  </si>
  <si>
    <t>A.8.31</t>
  </si>
  <si>
    <t>Separation of development, test and production environments</t>
  </si>
  <si>
    <t>A.8.32</t>
  </si>
  <si>
    <t>A.8.33</t>
  </si>
  <si>
    <t>Test information</t>
  </si>
  <si>
    <t>A.8.34</t>
  </si>
  <si>
    <t>Protection of information systems during audit testing</t>
  </si>
  <si>
    <t>Managing information security in the information 
and communication technology (ICT) supply-chain</t>
  </si>
  <si>
    <t>Has not even been checked yet; or
Lack of information relevant to this requirement</t>
  </si>
  <si>
    <t>Partially Compliant</t>
  </si>
  <si>
    <t>Development has barely started and will require significant work to fulfill the requirements; or
Work in progress but not yet complete</t>
  </si>
  <si>
    <t>Fully Compliant</t>
  </si>
  <si>
    <t>Notes (Justification for the Selection of Status Value)</t>
  </si>
  <si>
    <t>Risk ID</t>
  </si>
  <si>
    <t>Date Added</t>
  </si>
  <si>
    <t>ASSET</t>
  </si>
  <si>
    <t>VULNERABILITY</t>
  </si>
  <si>
    <t>THREAT</t>
  </si>
  <si>
    <t>INHERENT RISK</t>
  </si>
  <si>
    <t>RISK MANAGEMENT</t>
  </si>
  <si>
    <t>RESIDUAL RISK</t>
  </si>
  <si>
    <t>RECOMMENDED CONTROL(S)</t>
  </si>
  <si>
    <t>CONTROL OWNER</t>
  </si>
  <si>
    <t>DATE DUE</t>
  </si>
  <si>
    <t>REFERENCE TO ISO 27001 (NIST CSF) CONTROL</t>
  </si>
  <si>
    <t>TREATMENT OPTION (MITIGATE; TRANSFER; ACCEPT; AVOID)</t>
  </si>
  <si>
    <t>RISK</t>
  </si>
  <si>
    <t>NAME</t>
  </si>
  <si>
    <t>VALUE</t>
  </si>
  <si>
    <t>Owner</t>
  </si>
  <si>
    <t>DESCRIPTION</t>
  </si>
  <si>
    <t>SCALE</t>
  </si>
  <si>
    <t>LIKELIHOOD</t>
  </si>
  <si>
    <t>IMPACT</t>
  </si>
  <si>
    <t>CURRENT CONTROLS</t>
  </si>
  <si>
    <t>NEXT REVIEW DATE</t>
  </si>
  <si>
    <t>Annex ID</t>
  </si>
  <si>
    <t>Partly Compliant</t>
  </si>
  <si>
    <t>A.5</t>
  </si>
  <si>
    <t>A.6</t>
  </si>
  <si>
    <t>A.7</t>
  </si>
  <si>
    <t>A.8</t>
  </si>
  <si>
    <t>Totals</t>
  </si>
  <si>
    <t>High</t>
  </si>
  <si>
    <t>Mitigate</t>
  </si>
  <si>
    <t>Medium</t>
  </si>
  <si>
    <t>Low</t>
  </si>
  <si>
    <t>Transfer</t>
  </si>
  <si>
    <t>There is no evidence of information labeling practices, which could lead to inadvertent disclosure of sensitive information.</t>
  </si>
  <si>
    <t>No processes exist for managing ICT supply-chain security, which could expose InnoVAR to unknown risks from suppliers.</t>
  </si>
  <si>
    <t>Supplier services are not regularly reviewed for security compliance, increasing risk exposure.</t>
  </si>
  <si>
    <t>An incident response plan exists but is outdated, lacks regular testing, and is not effectively prepared for current risks.</t>
  </si>
  <si>
    <t>Evidence collection processes are not documented, potentially hindering post-incident investigations.</t>
  </si>
  <si>
    <t>There is a basic business continuity plan but no specific controls for maintaining information security during disruptions.</t>
  </si>
  <si>
    <t>ICT readiness is in place with some failover capabilities, but the continuity plan has not been regularly tested.</t>
  </si>
  <si>
    <t>Basic compliance is maintained, but no regular review for updated compliance is conducted.</t>
  </si>
  <si>
    <t>Record protection measures are lacking, potentially exposing critical records to unauthorized access or tampering.</t>
  </si>
  <si>
    <t>Secure area policies are weak, allowing unauthorized individuals to access sensitive workspaces.</t>
  </si>
  <si>
    <t>Anti-malware is deployed, but the case does not indicate regular updates or monitoring for zero-day threats.</t>
  </si>
  <si>
    <t>Monthly vulnerability scans are performed, but not all identified vulnerabilities are patched timely.</t>
  </si>
  <si>
    <t>No data masking techniques are applied, exposing sensitive data to unauthorized users.</t>
  </si>
  <si>
    <t>Some redundancy exists but may not fully meet disaster recovery needs.</t>
  </si>
  <si>
    <t>Privileged utilities are used, but control mechanisms are limited, increasing security risk.</t>
  </si>
  <si>
    <t>Security of network services is monitored but lacks consistency, especially for third-party services.</t>
  </si>
  <si>
    <t>Application security requirements are not documented, leading to potential vulnerabilities in software.</t>
  </si>
  <si>
    <t>No outsourcing of development is mentioned in the case study.</t>
  </si>
  <si>
    <t>Change management exists but lacks proper documentation and tracking.</t>
  </si>
  <si>
    <t>No test information controls are in place, which could lead to data exposure during testing.</t>
  </si>
  <si>
    <t>Audits are conducted, but systems are not fully protected, increasing risk during testing.</t>
  </si>
  <si>
    <t>Office Buildings</t>
  </si>
  <si>
    <t>Employees</t>
  </si>
  <si>
    <t>VR/AR applications and source code</t>
  </si>
  <si>
    <t>Engineering diagrams</t>
  </si>
  <si>
    <t>Client Contact and Financial Data</t>
  </si>
  <si>
    <t>Optical reader for data center access</t>
  </si>
  <si>
    <t>Microsoft Desktop and PCs</t>
  </si>
  <si>
    <t>Mac computers</t>
  </si>
  <si>
    <t>Web server</t>
  </si>
  <si>
    <t>Servers for VR/AR applications</t>
  </si>
  <si>
    <t>Microsoft SQL database servers 2022</t>
  </si>
  <si>
    <t>Microsoft Exchange server 2019</t>
  </si>
  <si>
    <t>Virtualized Windows Server 2022</t>
  </si>
  <si>
    <t>Gateway routers</t>
  </si>
  <si>
    <t>Firewalls (Cisco ASA 5525)</t>
  </si>
  <si>
    <t>Decentralized wireless network</t>
  </si>
  <si>
    <t>Windows Server 2022</t>
  </si>
  <si>
    <t>Trend Micro Antivirus</t>
  </si>
  <si>
    <t>SIEM application</t>
  </si>
  <si>
    <t>Windows Server Update Services (WSUS)</t>
  </si>
  <si>
    <t>KPMG Spark accounting application</t>
  </si>
  <si>
    <t>Recovery and Incident response plan</t>
  </si>
  <si>
    <t>Facilities</t>
  </si>
  <si>
    <t>HR</t>
  </si>
  <si>
    <t>Very High</t>
  </si>
  <si>
    <t>IT</t>
  </si>
  <si>
    <t>Engineering</t>
  </si>
  <si>
    <t>Compliance</t>
  </si>
  <si>
    <t>IT Infrastructure</t>
  </si>
  <si>
    <t>IT Security</t>
  </si>
  <si>
    <t>Accounting Team</t>
  </si>
  <si>
    <t>Physical access vulnerabilities, potential unauthorized access</t>
  </si>
  <si>
    <t>Moderate</t>
  </si>
  <si>
    <t>Severe</t>
  </si>
  <si>
    <t>Reception and optical turnstiles limit unauthorized access.</t>
  </si>
  <si>
    <t>Facilities Manager</t>
  </si>
  <si>
    <t>A.7.1 Physical security perimeters</t>
  </si>
  <si>
    <t>Human error and insider threats may lead to data leakage or system misuse</t>
  </si>
  <si>
    <t>Security awareness training sessions conducted annually.</t>
  </si>
  <si>
    <t>A.6.3 Information security awareness, education, and training</t>
  </si>
  <si>
    <t>Vulnerabilities in code or application configurations may allow unauthorized access or tampering</t>
  </si>
  <si>
    <t>Secure coding practices and access restrictions are in place.</t>
  </si>
  <si>
    <t>IT Director</t>
  </si>
  <si>
    <t>A.8.4 Access to source code</t>
  </si>
  <si>
    <t>Risks of unauthorized copying or alteration, impacting integrity and confidentiality</t>
  </si>
  <si>
    <t>Limited access to engineering diagrams via password-protected systems.</t>
  </si>
  <si>
    <t>A.5.9 Inventory of information and other associated assets</t>
  </si>
  <si>
    <t>Current controls include limited access and basic encryption.</t>
  </si>
  <si>
    <t>Compliance Officer</t>
  </si>
  <si>
    <t>A.5.34 Privacy and protection of personal identifiable information (PII)</t>
  </si>
  <si>
    <t>Limited to authorized employees with ID passes</t>
  </si>
  <si>
    <t>A.7.3 Securing offices, rooms, and facilities</t>
  </si>
  <si>
    <t>Basic antivirus is installed but not regularly updated.</t>
  </si>
  <si>
    <t>IT Manager</t>
  </si>
  <si>
    <t>A.8.1 User end point devices</t>
  </si>
  <si>
    <t>Risk of software vulnerabilities and configuration errors leading to data breaches</t>
  </si>
  <si>
    <t>Some systems are managed with centralized configuration.</t>
  </si>
  <si>
    <t>A.8.8 Management of technical vulnerabilities</t>
  </si>
  <si>
    <t>Vulnerable to attacks, including SQL injection and DDoS</t>
  </si>
  <si>
    <t>Basic firewall and intrusion detection systems are in place.</t>
  </si>
  <si>
    <t>IT Security Lead</t>
  </si>
  <si>
    <t>A.8.21 Security of network services</t>
  </si>
  <si>
    <t>Risks of unauthorized access, malware, and data loss</t>
  </si>
  <si>
    <t>Limited user access and basic malware scanning protocols.</t>
  </si>
  <si>
    <t>A.8.13 Information backup</t>
  </si>
  <si>
    <t>Susceptible to unauthorized access and SQL injection attacks</t>
  </si>
  <si>
    <t>Firewall and basic access controls</t>
  </si>
  <si>
    <t>A.8.3 Information access restriction</t>
  </si>
  <si>
    <t>Prone to email spoofing, unauthorized access, and phishing attacks</t>
  </si>
  <si>
    <t>Use of basic spam filters and antivirus</t>
  </si>
  <si>
    <t>Vulnerable to misconfiguration, malware, and unauthorized access</t>
  </si>
  <si>
    <t>Basic access controls and antivirus</t>
  </si>
  <si>
    <t>Vulnerable to DoS, unauthorized access, and misconfiguration</t>
  </si>
  <si>
    <t>Basic firewall configurations</t>
  </si>
  <si>
    <t>A.8.20 Networks security</t>
  </si>
  <si>
    <t>Susceptible to misconfiguration and outdated firmware</t>
  </si>
  <si>
    <t>Basic firewall rules configured</t>
  </si>
  <si>
    <t>Vulnerable to unauthorized access due to common SSID and shared password</t>
  </si>
  <si>
    <t>Default SSID and shared password</t>
  </si>
  <si>
    <t>Potential vulnerabilities due to inconsistent patching</t>
  </si>
  <si>
    <t>WSUS for patching but inconsistent</t>
  </si>
  <si>
    <t>Lacks automatic updates, leading to outdated protection</t>
  </si>
  <si>
    <t>Manual updates by IT</t>
  </si>
  <si>
    <t>A.8.7 Protection against malware</t>
  </si>
  <si>
    <t>Not updated with new detection rules</t>
  </si>
  <si>
    <t>Basic rule configurations</t>
  </si>
  <si>
    <t>A.5.24 Information security incident management</t>
  </si>
  <si>
    <t>Inconsistent updates resulting in vulnerable systems</t>
  </si>
  <si>
    <t>Ad-hoc updates via WSUS</t>
  </si>
  <si>
    <t>Outsourced software may lack direct security controls</t>
  </si>
  <si>
    <t>Basic third-party controls</t>
  </si>
  <si>
    <t>A.5.20 Managing information security in ICT supply-chain</t>
  </si>
  <si>
    <t>Outdated contact details and no routine testing</t>
  </si>
  <si>
    <t>Basic recovery procedures</t>
  </si>
  <si>
    <t>Task</t>
  </si>
  <si>
    <t>Task Description</t>
  </si>
  <si>
    <t>Frequency</t>
  </si>
  <si>
    <t>Develop Information Security Policies</t>
  </si>
  <si>
    <t>Annually</t>
  </si>
  <si>
    <t>IT Security Team</t>
  </si>
  <si>
    <t>Define Roles and Responsibilities</t>
  </si>
  <si>
    <t>HR and IT</t>
  </si>
  <si>
    <t>Implement Segregation of Duties</t>
  </si>
  <si>
    <t>Establish controls and checks to enforce separation of roles and duties for key functions to prevent fraud and error.</t>
  </si>
  <si>
    <t>Semi-Annually</t>
  </si>
  <si>
    <t>Assign Management Responsibilities</t>
  </si>
  <si>
    <t>Define and communicate management’s specific responsibilities related to security governance, including periodic reviews and approval of security initiatives.</t>
  </si>
  <si>
    <t>Management</t>
  </si>
  <si>
    <t>Establish Contacts with Authorities</t>
  </si>
  <si>
    <t>Quarterly</t>
  </si>
  <si>
    <t>Join and Engage in Industry Groups</t>
  </si>
  <si>
    <t>Implement Threat Intelligence Program</t>
  </si>
  <si>
    <t>Monthly</t>
  </si>
  <si>
    <t>Cybersecurity</t>
  </si>
  <si>
    <t>Integrate Security in Project Management</t>
  </si>
  <si>
    <t>Per Project</t>
  </si>
  <si>
    <t>Project Managers</t>
  </si>
  <si>
    <t>Maintain Asset Inventory</t>
  </si>
  <si>
    <t>Develop and maintain an inventory of all information and associated assets, ensuring proper classification and tracking.</t>
  </si>
  <si>
    <t>Asset Management</t>
  </si>
  <si>
    <t>Define Acceptable Use Standards</t>
  </si>
  <si>
    <t>Create and enforce an acceptable use policy for information and assets, clearly outlining employee responsibilities and limitations.</t>
  </si>
  <si>
    <t>Implement Asset Return Process</t>
  </si>
  <si>
    <t>Develop a process for the secure return of assets upon termination or role change, including asset inspection and data erasure if necessary.</t>
  </si>
  <si>
    <t>Per Termination</t>
  </si>
  <si>
    <t>Establish Information Classification</t>
  </si>
  <si>
    <t>Define and apply classifications for information assets, assigning levels of confidentiality, integrity, and availability requirements.</t>
  </si>
  <si>
    <t>Implement Information Labeling</t>
  </si>
  <si>
    <t>Ensure all classified information is appropriately labeled, supporting handling, storage, and access controls based on classification.</t>
  </si>
  <si>
    <t>Secure Information Transfer</t>
  </si>
  <si>
    <t>IT and Compliance</t>
  </si>
  <si>
    <t>Enforce Access Control Policies</t>
  </si>
  <si>
    <t>Implement Identity Management System</t>
  </si>
  <si>
    <t>Strengthen Authentication Mechanisms</t>
  </si>
  <si>
    <t>Periodically Review Access Rights</t>
  </si>
  <si>
    <t>Assess Supplier Security</t>
  </si>
  <si>
    <t>Perform security risk assessments for all suppliers, including verification of compliance with organizational security requirements.</t>
  </si>
  <si>
    <t>Procurement</t>
  </si>
  <si>
    <t>Enforce Supplier Security Agreements</t>
  </si>
  <si>
    <t>Update supplier agreements to include specific information security requirements and data protection clauses.</t>
  </si>
  <si>
    <t>Legal and Procurement</t>
  </si>
  <si>
    <t>Implement ICT Supply Chain Management</t>
  </si>
  <si>
    <t>Monitor and Review Supplier Services</t>
  </si>
  <si>
    <t>Enforce Cloud Security Policies</t>
  </si>
  <si>
    <t>Develop Incident Response Plan</t>
  </si>
  <si>
    <t>Implement Incident Assessment Process</t>
  </si>
  <si>
    <t>Create procedures for assessing information security incidents, including initial risk assessment and priority determination.</t>
  </si>
  <si>
    <t>Per Incident</t>
  </si>
  <si>
    <t>Implement Incident Response Procedures</t>
  </si>
  <si>
    <t>Conduct Post-Incident Analysis</t>
  </si>
  <si>
    <t>Establish Evidence Collection Protocols</t>
  </si>
  <si>
    <t>Legal/Compliance</t>
  </si>
  <si>
    <t>Develop Business Continuity Plans</t>
  </si>
  <si>
    <t>Risk Management</t>
  </si>
  <si>
    <t>Test ICT Readiness for Continuity</t>
  </si>
  <si>
    <t>Conduct tests to ensure the ICT systems are prepared for continuity during disruptions, validating system resilience and recovery protocols.</t>
  </si>
  <si>
    <t>Screening for New Hires</t>
  </si>
  <si>
    <t>Per Hire</t>
  </si>
  <si>
    <t>Terms and Conditions of Employment</t>
  </si>
  <si>
    <t>HR/Legal</t>
  </si>
  <si>
    <t>Security Awareness and Training</t>
  </si>
  <si>
    <t>HR &amp; IT Security</t>
  </si>
  <si>
    <t>Disciplinary Process for Security Violations</t>
  </si>
  <si>
    <t>HR/Compliance</t>
  </si>
  <si>
    <t>Post-Termination Responsibilities</t>
  </si>
  <si>
    <t>Per Employee Exit</t>
  </si>
  <si>
    <t>Drafting Confidentiality and Non-Disclosure Agreements</t>
  </si>
  <si>
    <t>Per Contract</t>
  </si>
  <si>
    <t>HR &amp; Legal</t>
  </si>
  <si>
    <t>Remote Work Security</t>
  </si>
  <si>
    <t>Security Event Reporting</t>
  </si>
  <si>
    <t>Ongoing</t>
  </si>
  <si>
    <t>Physical Security Perimeters</t>
  </si>
  <si>
    <t>Facilities/IT Security</t>
  </si>
  <si>
    <t>Physical Entry Control</t>
  </si>
  <si>
    <t>Securing Offices, Rooms, and Facilities</t>
  </si>
  <si>
    <t>Physical Security Monitoring</t>
  </si>
  <si>
    <t>Protecting Against Physical &amp; Environmental Threats</t>
  </si>
  <si>
    <t>Working in Secure Areas</t>
  </si>
  <si>
    <t>Facilities/HR</t>
  </si>
  <si>
    <t>Clear Desk and Clear Screen Policy</t>
  </si>
  <si>
    <t>HR/IT Security</t>
  </si>
  <si>
    <t>Equipment Siting and Protection</t>
  </si>
  <si>
    <t>Security of Assets Off-Premises</t>
  </si>
  <si>
    <t>IT Security/HR</t>
  </si>
  <si>
    <t>Storage Media Protection</t>
  </si>
  <si>
    <t>Supporting Utilities</t>
  </si>
  <si>
    <t>Cabling Security</t>
  </si>
  <si>
    <t>Equipment Maintenance</t>
  </si>
  <si>
    <t>Secure Disposal or Re-use of Equipment</t>
  </si>
  <si>
    <t>As Needed</t>
  </si>
  <si>
    <t>User End Point Devices</t>
  </si>
  <si>
    <t>Privileged Access Rights</t>
  </si>
  <si>
    <t>Information Access Restriction</t>
  </si>
  <si>
    <t>Access to Source Code</t>
  </si>
  <si>
    <t>Development/IT Security</t>
  </si>
  <si>
    <t>Secure Authentication</t>
  </si>
  <si>
    <t>Capacity Management</t>
  </si>
  <si>
    <t>IT Operations/IT Security</t>
  </si>
  <si>
    <t>Protection Against Malware</t>
  </si>
  <si>
    <t>Management of Technical Vulnerabilities</t>
  </si>
  <si>
    <t>Configuration Management</t>
  </si>
  <si>
    <t>IT Security/Operations</t>
  </si>
  <si>
    <t>Information Deletion</t>
  </si>
  <si>
    <t>IT Security/Compliance</t>
  </si>
  <si>
    <t>Data Masking</t>
  </si>
  <si>
    <t>Data Leakage Prevention</t>
  </si>
  <si>
    <t>Ensure Compliance with Legal Requirements</t>
  </si>
  <si>
    <t>Map all legal, regulatory, and contractual requirements relevant to the organization. Update compliance matrix regularly.</t>
  </si>
  <si>
    <t>Compliance Manager</t>
  </si>
  <si>
    <t>Protect Intellectual Property (IP)</t>
  </si>
  <si>
    <t>Develop and enforce policies for IP protection, including the use of NDAs and IP marking. Conduct employee training on IP policies.</t>
  </si>
  <si>
    <t>Legal Team</t>
  </si>
  <si>
    <t>Implement Records Management Policy</t>
  </si>
  <si>
    <t>Define retention periods, secure storage, and disposal processes for organizational records. Audit compliance with the records policy annually.</t>
  </si>
  <si>
    <t>Records Manager</t>
  </si>
  <si>
    <t>Enhance PII Protection</t>
  </si>
  <si>
    <t>Deploy advanced encryption for PII, implement Data Loss Prevention (DLP) tools, and train employees on data protection laws and best practices.</t>
  </si>
  <si>
    <t>Biannually</t>
  </si>
  <si>
    <t>Data Privacy Officer</t>
  </si>
  <si>
    <t>Schedule Independent Security Reviews</t>
  </si>
  <si>
    <t>Engage third-party security auditors to perform annual reviews of policies, technical controls, and risk management practices.</t>
  </si>
  <si>
    <t>Information Security Lead</t>
  </si>
  <si>
    <t>Internal Compliance Audits</t>
  </si>
  <si>
    <t>Conduct quarterly reviews of adherence to security policies and standards. Document results and address non-compliance promptly.</t>
  </si>
  <si>
    <t>Develop and Update SOPs</t>
  </si>
  <si>
    <t>Implement Change Management</t>
  </si>
  <si>
    <t>Per Change</t>
  </si>
  <si>
    <t>Change Manager</t>
  </si>
  <si>
    <t>Isolate Environments</t>
  </si>
  <si>
    <t>IT Operations Manager</t>
  </si>
  <si>
    <t>Enforce Cryptographic Standards</t>
  </si>
  <si>
    <t>Use industry-standard encryption algorithms and protocols for data security. Regularly review cryptographic tools to ensure they remain current and secure.</t>
  </si>
  <si>
    <t>IT Security Manager</t>
  </si>
  <si>
    <t>Adopt Secure SDLC</t>
  </si>
  <si>
    <t>Integrate security into software development processes, use automated tools for static and dynamic code analysis, and conduct regular code reviews.</t>
  </si>
  <si>
    <t>Development Lead</t>
  </si>
  <si>
    <t>Implement Web Filtering</t>
  </si>
  <si>
    <t>Deploy a web filtering solution to block access to malicious sites and non-work-related content. Monitor activity and refine filters based on trends.</t>
  </si>
  <si>
    <t>Security Analyst</t>
  </si>
  <si>
    <t>Strengthen Backup Strategy</t>
  </si>
  <si>
    <t>Backup Administrator</t>
  </si>
  <si>
    <t>Enhance Redundancy</t>
  </si>
  <si>
    <t>Implement redundancy for servers, storage, and networks using load balancers and failover mechanisms to ensure uninterrupted services.</t>
  </si>
  <si>
    <t>Implement Centralized Logging</t>
  </si>
  <si>
    <t>Enable detailed logging for critical systems and centralize logs using a SIEM solution. Analyze and act on logs to enhance threat detection.</t>
  </si>
  <si>
    <t>Weekly</t>
  </si>
  <si>
    <t>Deploy Continuous Monitoring</t>
  </si>
  <si>
    <t>Use tools to monitor system activity, network traffic, and endpoints. Generate alerts for abnormal activities and integrate with response plans.</t>
  </si>
  <si>
    <t>Daily</t>
  </si>
  <si>
    <t>SOC Team Lead</t>
  </si>
  <si>
    <t>Enforce Time Synchronization</t>
  </si>
  <si>
    <t>Use NTP for clock synchronization across systems. Verify synchronization monthly to ensure forensic accuracy of logs.</t>
  </si>
  <si>
    <t>Network Administrator</t>
  </si>
  <si>
    <t>Restrict Privileged Utility Programs</t>
  </si>
  <si>
    <t>Limit access to privileged utility programs to authorized personnel. Log activities and review usage quarterly for compliance.</t>
  </si>
  <si>
    <t>Control Software Installation</t>
  </si>
  <si>
    <t>Establish policies for software installation requiring admin approval. Maintain a whitelist of approved software and conduct periodic reviews.</t>
  </si>
  <si>
    <t>Secure Network Services</t>
  </si>
  <si>
    <t>Apply the principle of least privilege for network services. Use TLS for secure communication and audit configurations regularly.</t>
  </si>
  <si>
    <t>Network Security Engineer</t>
  </si>
  <si>
    <t>Metrics</t>
  </si>
  <si>
    <t>The Number of policies developed, approved, and communicated annually</t>
  </si>
  <si>
    <t>Percentage of roles and job descriptions with defined security responsibilities</t>
  </si>
  <si>
    <t>Number of critical tasks requiring multiple personnel for execution.</t>
  </si>
  <si>
    <t>The number of management and leadership roles with allocated responsibilities of defined security oversight tasks</t>
  </si>
  <si>
    <t>Number of authorities and time to establish communication channels with relvant authorities.</t>
  </si>
  <si>
    <t>Number of forums joined and the participation frequency in industry events</t>
  </si>
  <si>
    <t>When to integrate threat intelligence sources and programes into company operations.</t>
  </si>
  <si>
    <t>Percentage of projects with security checkpoints and considerations</t>
  </si>
  <si>
    <t>The percentageof assets tracked and updated in inventory within the last quarter.</t>
  </si>
  <si>
    <t>The percentage of  employees who have signed acceptable use policies and adhering to the standards</t>
  </si>
  <si>
    <t>Time to recover and the number of assets returned upon employee contract termination</t>
  </si>
  <si>
    <t>Percentage of information classified correctly in accordance with policy guidelines</t>
  </si>
  <si>
    <t>The percentage of classified information  labeled correctly</t>
  </si>
  <si>
    <t>The percentage of encrypted data transfer channels</t>
  </si>
  <si>
    <t>The percentage of systems with the least  privilege policies enforced.</t>
  </si>
  <si>
    <t>Time to resolve identity related issues like duplicate accounts etc. securly</t>
  </si>
  <si>
    <t>Percentage of strong authentication mechanisms like multifactor authentication (MFA) implemented</t>
  </si>
  <si>
    <t>The Percentage of access rights reviewed and updated</t>
  </si>
  <si>
    <t>Number of suppliers assessed for security compliance</t>
  </si>
  <si>
    <t>Number of supplier agreements with security clauses</t>
  </si>
  <si>
    <t>Frequency of ICT supply-chain reviews</t>
  </si>
  <si>
    <t>Supplier service audit frequency, time to respond to service issues, compliance scores.</t>
  </si>
  <si>
    <t>Number of cloud services complying with security policies e.g number of misconfigurations detected and remediation time</t>
  </si>
  <si>
    <t>Number of incident response plans developed and tested</t>
  </si>
  <si>
    <t>Time taken to assess and decide on incidents</t>
  </si>
  <si>
    <t>Number of lessons learned from incidents</t>
  </si>
  <si>
    <t>Number of incidents responded to and resolved</t>
  </si>
  <si>
    <t>Percentage of incidents with proper evidence collection</t>
  </si>
  <si>
    <t>Number of business continuity plans developed and tested</t>
  </si>
  <si>
    <t>Frequency of continuity tests, percentage of successful tests and recovery time for ICT systems</t>
  </si>
  <si>
    <t>Number of compliance audits completed</t>
  </si>
  <si>
    <t>Number of IP protection measures implemented</t>
  </si>
  <si>
    <t xml:space="preserve">Number of records protected and managed </t>
  </si>
  <si>
    <t>Number of PII protection measures implemented</t>
  </si>
  <si>
    <t>Frequency of independent security reviews</t>
  </si>
  <si>
    <t>Number of internal compliance audits completed</t>
  </si>
  <si>
    <t>Number of SOPs developed and updated</t>
  </si>
  <si>
    <t>Percentage of new hires screened</t>
  </si>
  <si>
    <t>Number of employees aware of terms and conditions</t>
  </si>
  <si>
    <t>Percentage of employees trained quaterly</t>
  </si>
  <si>
    <t>Number of disciplinary actions taken for violations</t>
  </si>
  <si>
    <t>Percentage of terminated employees with revoked access within 24 hours</t>
  </si>
  <si>
    <t>Percentage  of employees that  signed NDAs.</t>
  </si>
  <si>
    <t>Number of remote work security breaches detected and resolved</t>
  </si>
  <si>
    <t>Number of security events reported</t>
  </si>
  <si>
    <t>Number of sites with physical access controls in plac</t>
  </si>
  <si>
    <t>Average time to detect unauthorized physical access attempts</t>
  </si>
  <si>
    <t>Percentage of critical facilities inspected for vulnerabilities annually.</t>
  </si>
  <si>
    <t>Percenatge of security incidents detected through monitoring systems.</t>
  </si>
  <si>
    <t>Number of locations with updated environmental threat assessments.</t>
  </si>
  <si>
    <t>Percentage of employees authorized to access secure areas</t>
  </si>
  <si>
    <t>Percentage of employees compliant with clear desk checks</t>
  </si>
  <si>
    <t>Number of equipment protection measures developed and  implemented</t>
  </si>
  <si>
    <t>Number of assets secured off-premises</t>
  </si>
  <si>
    <t>Number of secure storage media implementations</t>
  </si>
  <si>
    <t>Number of utility support measures implemented</t>
  </si>
  <si>
    <t>Number of secure cabling installations</t>
  </si>
  <si>
    <t>Frequency of equipment maintenance</t>
  </si>
  <si>
    <t>Number of items securely disposed or re-used</t>
  </si>
  <si>
    <t>Percentage of endpoint devices patched within the last 30 days.</t>
  </si>
  <si>
    <t>Percentage of privileged accounts reviewed quarterly.</t>
  </si>
  <si>
    <t>Percentage of critical systems with access controls implemented.</t>
  </si>
  <si>
    <t>Percentage of developers adhering to source code security policies.</t>
  </si>
  <si>
    <t>Percentage of secure authentication mechanisms deployed</t>
  </si>
  <si>
    <t>Number of capacity management reviews conducted</t>
  </si>
  <si>
    <t>Number of malware incidents detected and mitigated</t>
  </si>
  <si>
    <t>Frequency of vulnerability assessments</t>
  </si>
  <si>
    <t>Number of configuration changes reviewed and approved</t>
  </si>
  <si>
    <t>Number of secure deletion processes conducted</t>
  </si>
  <si>
    <t>Number of data masking implementations</t>
  </si>
  <si>
    <t>Number of data leakage incidents detected and prevented</t>
  </si>
  <si>
    <t>Frequency of backup tests conducted</t>
  </si>
  <si>
    <t>Number of redundancy measures implemented</t>
  </si>
  <si>
    <t>Number of logs monitored</t>
  </si>
  <si>
    <t>Frequency of continuous monitoring activities</t>
  </si>
  <si>
    <t>Number of synchronization issues resolved</t>
  </si>
  <si>
    <t>Number of privileged utility program uses restricted</t>
  </si>
  <si>
    <t>Number of unauthorized software installations prevented</t>
  </si>
  <si>
    <t>Number of network security breaches detected</t>
  </si>
  <si>
    <t>Number of network services secured</t>
  </si>
  <si>
    <t>Number of network segregation implementations</t>
  </si>
  <si>
    <t>Number of malicious websites blocked</t>
  </si>
  <si>
    <t>Number of cryptographic implementations reviewed</t>
  </si>
  <si>
    <t>Number of secure SDLC practices implemented</t>
  </si>
  <si>
    <t>Number of application security requirements defined</t>
  </si>
  <si>
    <t>Number of secure system architectures implemented</t>
  </si>
  <si>
    <t>Number of secure coding practices followed</t>
  </si>
  <si>
    <t>Number of security tests conducted</t>
  </si>
  <si>
    <t>Number of outsourced development projects secured</t>
  </si>
  <si>
    <t>Number of environment segregations implemented</t>
  </si>
  <si>
    <t>Number of change requests reviewed and approved</t>
  </si>
  <si>
    <t>Number of test information secured</t>
  </si>
  <si>
    <t>Number of audit tests secured</t>
  </si>
  <si>
    <t>Implement Network Security Protocols</t>
  </si>
  <si>
    <t>Design and enforce secure configurations for network services, including VPNs and firewalls.</t>
  </si>
  <si>
    <t>Segment Critical Network Zones</t>
  </si>
  <si>
    <t>Divide the network into secure zones to isolate sensitive systems and applications.</t>
  </si>
  <si>
    <t>Define Application Security Standards</t>
  </si>
  <si>
    <t>Develop security requirements for application development and deployment processes.</t>
  </si>
  <si>
    <t>Design Secure Architectures</t>
  </si>
  <si>
    <t>Enforce Secure Coding Practices</t>
  </si>
  <si>
    <t>Conduct Security Testing</t>
  </si>
  <si>
    <t>Assess Vendor Development Security</t>
  </si>
  <si>
    <t>Annual update</t>
  </si>
  <si>
    <t>Application Security Lead</t>
  </si>
  <si>
    <t>Bi-annual reviews</t>
  </si>
  <si>
    <t>System Architect</t>
  </si>
  <si>
    <t>Every development cycle</t>
  </si>
  <si>
    <t>Development Team Lead</t>
  </si>
  <si>
    <t>Per project milestone</t>
  </si>
  <si>
    <t>QA and Security Team</t>
  </si>
  <si>
    <t>Annual review</t>
  </si>
  <si>
    <t>Vendor Management</t>
  </si>
  <si>
    <t>Per test cycle</t>
  </si>
  <si>
    <t>Testing Team Lead</t>
  </si>
  <si>
    <t>Every audit engagement</t>
  </si>
  <si>
    <t>IT Audit Manager</t>
  </si>
  <si>
    <t>Nonexistence</t>
  </si>
  <si>
    <t>The lack of documented segregation of duties in the case study can easily expose an organization to risks of unauthorized access.</t>
  </si>
  <si>
    <t>There is no documented process to contact relevant authorities in case of a security incident.</t>
  </si>
  <si>
    <t>No alliance with any security groups or information sharing organizations is mentioned in the case study</t>
  </si>
  <si>
    <t>There is an acceptable use policy in place, but it is outdated and not actively regulated, especially concerning USB drives usage.</t>
  </si>
  <si>
    <t>There is no evidence of asset return policies, which can lead to problems such as unreturned and poorly handled assets upon the departure of an employee</t>
  </si>
  <si>
    <t>Vulnerability scanning is outsourced, but there is no structured threat intelligence program.</t>
  </si>
  <si>
    <t>Security considerations in project management are not mentioned.</t>
  </si>
  <si>
    <t>No inventory system for tracking assets, as evident from stolen laptops and lack of control over local storage.</t>
  </si>
  <si>
    <t>No classification scheme is in place for sensitive data (e.g., engineering diagrams, financial data).</t>
  </si>
  <si>
    <t>No controls mentioned for secure data transfer between sites or employees.</t>
  </si>
  <si>
    <t>Basic password policies exist but are weak; generic passwords and administrator rights for remote employees are risks.</t>
  </si>
  <si>
    <t>Access control is discretionary and not consistently enforced (e.g., data owners often don’t secure files).</t>
  </si>
  <si>
    <t>No mention of formal security controls in supplier agreements beyond outsourced HR and spam filtering.</t>
  </si>
  <si>
    <t>Some agreements exist (e.g., IT Works), but no evidence of comprehensive security clauses.</t>
  </si>
  <si>
    <t>Cloud services (SharePoint) exist, but controls and monitoring are insufficient.</t>
  </si>
  <si>
    <t>Responses rely on IT Works; no evidence of internal training or testing.</t>
  </si>
  <si>
    <t>No mention of lessons learned or incident review processes.</t>
  </si>
  <si>
    <t>No formal controls to protect intellectual property despite sensitive data (e.g., VR/AR source code).</t>
  </si>
  <si>
    <t>No evidence of formal PII protection controls.</t>
  </si>
  <si>
    <t>Policies exist but are outdated; enforcement is weak (e.g., default SSID and shared passwords).</t>
  </si>
  <si>
    <t>No evidence of documented procedures for operations or security tasks.</t>
  </si>
  <si>
    <t>No mention of background checks, but employees sign an acceptable use agreement.</t>
  </si>
  <si>
    <t>Acceptable use agreement exists, but confidentiality and security responsibilities are unclear.</t>
  </si>
  <si>
    <t>NDAs may be implied in agreements but not explicitly stated in the case study.</t>
  </si>
  <si>
    <t>Physical security exists (e.g., optical turnstiles, secured data centre doors).</t>
  </si>
  <si>
    <t>Reception manages visitor passes, but contractors are trusted without supervision.</t>
  </si>
  <si>
    <t>Offices are secured, but equipment theft incidents indicate gaps in physical security.</t>
  </si>
  <si>
    <t>No mention of environmental controls, but basic physical security is in place.</t>
  </si>
  <si>
    <t>No mention of clear desk or screen policies.</t>
  </si>
  <si>
    <t>Equipment theft incidents indicate poor siting/protection controls.</t>
  </si>
  <si>
    <t>No controls mentioned for securing assets used remotely or off-site.</t>
  </si>
  <si>
    <t>Employees use personal USB drives for backups, which is insecure.</t>
  </si>
  <si>
    <t>No mention of power, cooling, or redundancy measures for utilities.</t>
  </si>
  <si>
    <t>No evidence of secure cabling practices.</t>
  </si>
  <si>
    <t>No clear mention of maintenance, but equipment theft implies lax asset control.</t>
  </si>
  <si>
    <t>No mention of secure disposal or reuse practices.</t>
  </si>
  <si>
    <t>Endpoint devices are provided, but updates are inconsistent, and antivirus is not auto-updated.</t>
  </si>
  <si>
    <t>Access control exists but is discretionary, leading to overexposure of sensitive data.</t>
  </si>
  <si>
    <t>No mention of specific source code protection measures despite its sensitivity.</t>
  </si>
  <si>
    <t>No mention of capacity management processes or monitoring.</t>
  </si>
  <si>
    <t>No mention of configuration management controls or policies.</t>
  </si>
  <si>
    <t>No mention of secure deletion practices for sensitive data.</t>
  </si>
  <si>
    <t>No mention of DLP tools or strategies.</t>
  </si>
  <si>
    <t>Backups exist but rely on employee USB drives, which is insecure and inconsistent.</t>
  </si>
  <si>
    <t>Logging exists via SIEM, but rules are outdated, and review processes are unclear.</t>
  </si>
  <si>
    <t>Monitoring is outsourced, but internal processes are weak.</t>
  </si>
  <si>
    <t>No mention of clock synchronization for systems.</t>
  </si>
  <si>
    <t>Networks are secured by firewalls, but weak SSID and common passwords are vulnerabilities.</t>
  </si>
  <si>
    <t>No mention of network segmentation controls.</t>
  </si>
  <si>
    <t>No mention of web filtering solutions.</t>
  </si>
  <si>
    <t>No evidence of encryption or cryptography use in protecting data.</t>
  </si>
  <si>
    <t>No mention of secure development practices for VR/AR software.</t>
  </si>
  <si>
    <t>No mention of secure architecture practices for IT systems.</t>
  </si>
  <si>
    <t>Safeguard systems during audits</t>
  </si>
  <si>
    <t>Protect test data</t>
  </si>
  <si>
    <t>SIEM provides alerts, but no evidence of structured assessment processes. Also, only high-risk incidents are escalated, which might lead to insufficient assessment of lower-severity events.</t>
  </si>
  <si>
    <t xml:space="preserve">MFA is in place and is required to gain access to the systems </t>
  </si>
  <si>
    <t>MFA is in use, but there is no account review since 2020; terminated employees retain access.</t>
  </si>
  <si>
    <t>Vulnerability scans exist, but no independent security reviews have been conducted; the last internal audit was in 2020.</t>
  </si>
  <si>
    <t>30-minute Initial awareness training is provided at onboarding, but no continuous training or regular updates are given.</t>
  </si>
  <si>
    <t>No mention of a formal disciplinary process for security violations but may likely exist</t>
  </si>
  <si>
    <t>There is no evidence of post-termination controls, and ex-employees retain access to systems and applications, which is a security risk.</t>
  </si>
  <si>
    <t>VPN and MFA exist for remote workers to have access to the system</t>
  </si>
  <si>
    <t>SIEM alerts exist, but no structured internal reporting process is mentioned and it has not been updated with new rules since 2022. Also reporting is limited to high-risk alerts, leaving low-risk events unmonitored or unreported.</t>
  </si>
  <si>
    <t>No evidence of monitoring physical security (e.g., CCTV or access logs).</t>
  </si>
  <si>
    <t>Admin rights are given to remote employees</t>
  </si>
  <si>
    <t>DUO MFA is in place, but weak password policies could undermine its effectiveness.</t>
  </si>
  <si>
    <t>Software installation is permitted, but inadequate controls does not exist, increasing threats and  vulnerability risk.</t>
  </si>
  <si>
    <t>A6 People controls</t>
  </si>
  <si>
    <t>A5 Organizational controls</t>
  </si>
  <si>
    <t>A7 Physical controls</t>
  </si>
  <si>
    <t>A8 Technological controls</t>
  </si>
  <si>
    <t>Complete lack of recognisable policy, procedure, control etc.</t>
  </si>
  <si>
    <t>ALL requirements in the main body of ISO/IEC 27001 are mandatory IF your ISMS is to be certified. Otherwise, managemnent can ignore them.</t>
  </si>
  <si>
    <t>Number of Annex Sub Parts</t>
  </si>
  <si>
    <t>Implement advanced surveillance systems and establish layered access control with biometric authentication to enhance security measures and reduce unauthorized access risks.</t>
  </si>
  <si>
    <t>Increase frequency and depth of security training, and implement role-based access controls to minimize unnecessary data access.</t>
  </si>
  <si>
    <t>Conduct regular code reviews, implement application firewalls, and require multi-factor authentication for access to the development environment.</t>
  </si>
  <si>
    <t xml:space="preserve">Enhance access restrictions, implement watermarking, and ensure encryption of sensitive files when stored or transferred. </t>
  </si>
  <si>
    <t>Strengthen encryption protocols, implement robust data handling policies, and enforce access logging to track data use and modifications.</t>
  </si>
  <si>
    <t xml:space="preserve">Implement multi-factor authentication on data center access points and ensure that access logs are audited monthly. </t>
  </si>
  <si>
    <t>Ensure timely antivirus updates, enforce regular patches, and utilize endpoint detection and response (EDR) tools for enhanced protection.</t>
  </si>
  <si>
    <t>Enforce centralized update management and introduce vulnerability scanning specifically for Mac OS systems.</t>
  </si>
  <si>
    <t xml:space="preserve">Harden the web server by using advanced firewalls, apply Web Application Firewall (WAF), and perform regular vulnerability assessments. </t>
  </si>
  <si>
    <t xml:space="preserve">Introduce advanced malware protection and enhance server monitoring to detect anomalies early. </t>
  </si>
  <si>
    <t>Enforce advanced SQL injection prevention, implement strict access control measures, and conduct regular vulnerability scanning.</t>
  </si>
  <si>
    <t xml:space="preserve">Enforce configuration standards, conduct regular vulnerability scans, and implement network segmentation. </t>
  </si>
  <si>
    <t xml:space="preserve">Utilse (DomainKeys Identified Mail) DKIM, and (Sender Policy Framework) SPF protocols to prevent spoofing, and improve phishing detection. </t>
  </si>
  <si>
    <t xml:space="preserve">Regularly update router firmware, use access control lists (ACLs), and enable logging. </t>
  </si>
  <si>
    <t xml:space="preserve">Conduct periodic firewall configuration audits and ensure timely firmware updates. </t>
  </si>
  <si>
    <t xml:space="preserve">Implement WPA3 encryption, create unique SSIDs per office, and enforce password complexity. </t>
  </si>
  <si>
    <t xml:space="preserve">Enforce a monthly patching schedule, including third-party applications, to ensure all systems are up-to-date. </t>
  </si>
  <si>
    <t>Automate antivirus updates and conduct regular scans to enhance detection and response to threats.</t>
  </si>
  <si>
    <t xml:space="preserve">Update SIEM with current rules and conduct biannual reviews for effective threat detection. </t>
  </si>
  <si>
    <t xml:space="preserve">Implement an automated update policy to ensure timely patches. </t>
  </si>
  <si>
    <t xml:space="preserve">Require regular security audits and contractual clauses on data protection. </t>
  </si>
  <si>
    <t>Schedule biannual plan reviews and conduct regular incident simulations.</t>
  </si>
  <si>
    <t>Engineering Manager</t>
  </si>
  <si>
    <t>System Administrator</t>
  </si>
  <si>
    <t>Accounting Manager
IT Security Manager</t>
  </si>
  <si>
    <t>Client confidential data could potentailly be exposed through unauthorized access or loss</t>
  </si>
  <si>
    <t>Could be infected by virus, unauthorized access, and loss of data</t>
  </si>
  <si>
    <t>Weakness in access control procedure could result in unauthorized entry into data centers</t>
  </si>
  <si>
    <t>No secure coding practices are mentioned in the case study</t>
  </si>
  <si>
    <t>No mention of security testing during the development cycle in the case stduy</t>
  </si>
  <si>
    <t>No evidence of separation between these environments in the case stdy</t>
  </si>
  <si>
    <t>Security is handled part-time by one staff member, but the overall roles and responsiblites are not clearly defined.</t>
  </si>
  <si>
    <t>There is a minor focus on security updates and incident response plans, which reflects weak management oversight.</t>
  </si>
  <si>
    <t>Specify procedures to avoid audit tasks from impacting active systems or information.</t>
  </si>
  <si>
    <t xml:space="preserve">Ensure all test data is anonymized as well as handled safely to avoid leakages or abuse. </t>
  </si>
  <si>
    <t>Introduce an official procedure for authorizing and applying any changes.</t>
  </si>
  <si>
    <t xml:space="preserve">Different advancement, screening as well as manufacturing settings to lessen dangers.  Restriction manufacturing accessibility to licensed employees just. </t>
  </si>
  <si>
    <t>Increase third party development operations and enforce compliance with security standards.</t>
  </si>
  <si>
    <t>Perform penetration testing and code reviews during the development and usage phases.</t>
  </si>
  <si>
    <t>Implement secure coding measures to mitigate potential vulnerabilities in software development.</t>
  </si>
  <si>
    <t>Establish a secure design guideline to guide system architecture</t>
  </si>
  <si>
    <t>Some Policies exist are existing, but they are outdated, they were created in 2016, without any plan for future review or updates.</t>
  </si>
  <si>
    <t>Unauthorized access to physical buildings where information is stored can result in stolen information assets or other infrastructure that compromises operational security and confidentiality.</t>
  </si>
  <si>
    <t>Data breaches could severely damage reputation and result in the loss of all clients due to unauthorized access to client contact and financial data.</t>
  </si>
  <si>
    <t xml:space="preserve">
Physical intrusion into data centers could also allow for tampering or removal of key servers, putting sensitive data and business continuity at risk.</t>
  </si>
  <si>
    <t xml:space="preserve">
A web server being compromised may result in: data leakage, unauthorized access or service disruption impacting availability and exposing InnoVAR to the risk of customer dissatisfaction.</t>
  </si>
  <si>
    <t xml:space="preserve">
Email servers when compromised, pose increased risk of data leaks, phishing attacks and loss of sensitive internal and client communications which can damage company reputation.</t>
  </si>
  <si>
    <t xml:space="preserve">
Poorly configured firewalls might let through unauthorised network traffic, which can subsequently cause data leaks, virus infections, and total network compromise.</t>
  </si>
  <si>
    <t xml:space="preserve">
SIEM systems that are not configured properly lower the detection capability for security events which leads to delayed response to such events and a higher possibility of unmonitored malicious activity.</t>
  </si>
  <si>
    <t>An incident response plan that is no longer valid creates a delay for responding to a breach that can increase recovery time, data loss, and the impact on the operations.</t>
  </si>
  <si>
    <t xml:space="preserve">
Outsourced applications that has limited control could risk data leaks or compliance violations and potential third-party data breaches.</t>
  </si>
  <si>
    <t xml:space="preserve">
Patch lapses and delays could contributes to a system being vulnerable for a more considerable length of time, if systems are not patched timely.</t>
  </si>
  <si>
    <t xml:space="preserve">
An outdated antivirus software is blind to the latest threats, leaving systems vulnerable to malware, ransomware, and loss of data.</t>
  </si>
  <si>
    <t>Unpatched servers are exposed to critical security exploits, which can be leveraged for unauthorized access or even destroy entire systems or compromise the system integrity.</t>
  </si>
  <si>
    <t>Weak wireless network security measures can grant access to unauthorized users to connect to the network, which increases the risk of data theft, network invasion, and malware propagation.</t>
  </si>
  <si>
    <t>The security risks of data leaks, man-in-the-middle interception of traffic, network denial-of-service (DoS) attacks due to unprotected routers are high.</t>
  </si>
  <si>
    <t>Virtualized server misconfiguration or server compromise could result in data breaches, business operation interruption, and unauthorized access to sensitive data.</t>
  </si>
  <si>
    <t>Hackers that  are penetrating or malware attacks on the servers hosting VR/AR applications could shut down, alter, or steal these services, data, and also patent.</t>
  </si>
  <si>
    <t>Configuration issues on Mac computers and outdated software or configuration problems can expose them to unauthorized access or data compromise, from which the integrity of the design work will be affected.</t>
  </si>
  <si>
    <t>Stolen engineering diagrams, drawings, models, or blueprints can expose proprietary information and jeopardize the quality of a project,f which may translate into angry clients and increased compliance obligations.</t>
  </si>
  <si>
    <t>For the VR/AR applications/source code, unauthorized extracting or usage can lead to IP theft or loss of operations, impacting your competitive advantage, as well as client trust.</t>
  </si>
  <si>
    <t>Data integrity and confidentiality of sensitive information can be threatened by employees even if they do it inadvertently (e.g. leaking certain information, abusing the system, falling for phishing attack).</t>
  </si>
  <si>
    <t>SQL injections in database servers with unauthorized access can cause data loss, loss of critical information, loss of encryption keys, and potentail total system compromise.</t>
  </si>
  <si>
    <t>Data on desktops and PCs are also susceptible to malware, phishing and unauthorized access which can then lead to data leaks, or disrupt system functionality and productivity in the workplace.</t>
  </si>
  <si>
    <t>Keep it simple and clear: Assign and document the roles and responsibilities regarding information security for all staff</t>
  </si>
  <si>
    <t>Keep an updated list of relevant authorities to whom incidents should be reported to immediately an incident is noticed.</t>
  </si>
  <si>
    <t>Join information security and industry-specific groups to receive updates on industry and security trends and threats.</t>
  </si>
  <si>
    <t>Design a program to aggregate, analyze, and inform security personnel with threat intelligence data, to preemptively identify and address new cyber security vulnerabilities.</t>
  </si>
  <si>
    <t>Integrate a security risk assessment process for new projects, and factor in security controls during project planning stages.</t>
  </si>
  <si>
    <t>Set access control policies based on need to know and job functions requirements</t>
  </si>
  <si>
    <t>Implement a unified identity management service that can manage accounts and access around the company.</t>
  </si>
  <si>
    <t>For systems that are critical to the company,  implement and review MFA and password policies regularly.</t>
  </si>
  <si>
    <t>Set up secure methods for transferring information within  and outside the company, such as encrypting sensitive data and access control</t>
  </si>
  <si>
    <t>Regularly audit and review access rights and remove access of idle or terminated employees.</t>
  </si>
  <si>
    <t>Set controls for information and communication technology (ICT) security. This applies to the ICT supply chain, including the management of vendor security policies and the requirement to report security incidents.</t>
  </si>
  <si>
    <t>Regularly monitor and review the security attitude of supplier service provider  to identify and mitigate potential security risks.</t>
  </si>
  <si>
    <t>All cloud services should meet the company's  security standards, including data protection, access control and monitoring.</t>
  </si>
  <si>
    <t>An incident response plan to ensure security incidents are dealt with timely and properly (create, apply and train staffs on it)</t>
  </si>
  <si>
    <t>For incident response, create an a company wide plan to contain, eradicate, and recover quickly</t>
  </si>
  <si>
    <t>Document and maintain a Standard Operating Procedures SOPs across critical IT and security processes. Weekly review and quarterly update.</t>
  </si>
  <si>
    <t>Prepare business continuity and incident recovery plans to manage security during disruptions. This could be  systems backups and recovery timelines.</t>
  </si>
  <si>
    <t>Conduct a post-incident review and analysis to learn from the incident and make corrections where necessary.</t>
  </si>
  <si>
    <t>Establish a protocols for the collection, storage, and preservation of evidence in an event of security incidents.</t>
  </si>
  <si>
    <t>Carry ouut appropriate background check, security screening and vetting of prospective employees to minimise insider threats.</t>
  </si>
  <si>
    <t>Train all employees and obtain properly signed contract covering their responsibilities and expectations regarding information security and confidentiality.</t>
  </si>
  <si>
    <t>A training that  focuses on phishing, malware and data protection, must  be regular and mandatory for all stakeholders</t>
  </si>
  <si>
    <t>Document the process to address security policy violations, providing clear and consistent justifications for disciplinary measures taken for violations.</t>
  </si>
  <si>
    <t>Implement processes to revoke access rights and recover company assets upon exits of employee</t>
  </si>
  <si>
    <t>Make sure that all employees, contractors and partners sign confidentiality agreements to keep company information private.</t>
  </si>
  <si>
    <t>Establish, and enforce, remote work policies while considering secure access to company's systems &amp; data.  VPNs, endpoint security, secure communications channels are some of the secure ways of connection remotely</t>
  </si>
  <si>
    <t>Establish and communicate a simple process to employees for reporting security incidents or suspicious activities, making sure incidents are tracked and acted upon without delays</t>
  </si>
  <si>
    <t>Use physical barricades, such as fences, walls, and access-in controls to shield critical areas from unauthorized bodily access</t>
  </si>
  <si>
    <t>Lock all enterprise amenities like offices and data centers, using appropriate locks, surveillance cameras, and alarms.</t>
  </si>
  <si>
    <t>Establish and maintain physical access control systems like badges and biometric access for secure areas.</t>
  </si>
  <si>
    <t>Establish a monitoring system in the given premises of the company, like CCTV cameras in sensitive locations to monitor unauthorized access or suspicious activities.</t>
  </si>
  <si>
    <t>To prevent damage to important systems and assets, protections against fire, water, and environmental risks should be implemented.</t>
  </si>
  <si>
    <t>Provide appropriate levels of facility security, including physical access control, to those areas where sensitive information or operations are conducted and allow only authorized personnel access to those sensitive areas.</t>
  </si>
  <si>
    <t>Ensure all desktops, laptops, and workstations are secured when not in use through a clean desk policy and locking the screen.</t>
  </si>
  <si>
    <t>Store equipment in safe locations to prevent theft, damage, or misuse.</t>
  </si>
  <si>
    <t>Establish policies and procedures for the security of assets off the premises, this could be encryption and tracking.</t>
  </si>
  <si>
    <t>Encrypt and securely store storage media (hard drives, USBs) when not in use to prevent unauthorized access and data theft.</t>
  </si>
  <si>
    <t>Keep utility services like power, water, HVAC, etc., secure, redundant, and monitored to minimize risk of systems going offline</t>
  </si>
  <si>
    <t>Hold down all wiring and cables, ensuring that they are physically secured to minimize tampering or unauthorized access to systems.</t>
  </si>
  <si>
    <t>All the important IT equipment must be regularly maintained and have adequate backup systems and procedures to prevent being disrupted.</t>
  </si>
  <si>
    <t>Implement stringent access restrictions such that staff only have access to information relevant to their roles.</t>
  </si>
  <si>
    <t>Implement source code repository access control, allowing access to only  trusted people and monitoring the access.</t>
  </si>
  <si>
    <t>Use secure, multi-factor authentication (MFA) for all users, mainly for staff with elevated privilege or access rights.</t>
  </si>
  <si>
    <t>Constatly review and adjust the capacity of systems so that they are in line with operational needs and security requirements.</t>
  </si>
  <si>
    <t>Deploy anti-malware software on all endpoints and networks and perform regular scanning of the systems for threats.</t>
  </si>
  <si>
    <t>Always look out for software vulnerabilities on  systems and applications and take action to apply patches or mitigations when they become available.</t>
  </si>
  <si>
    <t>Have a defined baseline policy configuration for all systems and ensure there is a configuration change process.</t>
  </si>
  <si>
    <t>Define and implement policies preventing the data not needed anymore to be securely erased multiply in accordance with data retention policies.</t>
  </si>
  <si>
    <t>Adopt a relaible backup strategy, test the backup recoverability regularly, and always ensure offsite storage is secure and encrypted.</t>
  </si>
  <si>
    <t>Enable data loss prevention policy to prevent sensitive data from being accessed without proper authorisation or transmitted out of the network without approval</t>
  </si>
  <si>
    <t>safeguard sensitive data by implementing data masking, so that only appropriate and authorized users will have access to unmasked data</t>
  </si>
  <si>
    <t>Constantly review the access of privileged account, so that only authorised users have access to sensitive company data</t>
  </si>
  <si>
    <t>Erase sensitive data in accordance with the right procedures for decommissioned devices before the device is thrown away or reused</t>
  </si>
  <si>
    <t>End-user devices like laptops, desktops, etc. must be secureed with the most recent security patches. Anti-virus software should be installed and constantly updated.</t>
  </si>
  <si>
    <t>Draft, update and distribute policies on all information security aspects as mandated by the organization and aligned with ISO 27001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</si>
</sst>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amily val="2"/>
    </font>
    <font>
      <sz val="11"/>
      <color theme="1"/>
      <name val="Calibri"/>
      <family val="2"/>
      <scheme val="minor"/>
    </font>
    <font>
      <b/>
      <sz val="12"/>
      <color indexed="9"/>
      <name val="Arial"/>
      <family val="2"/>
    </font>
    <font>
      <b/>
      <sz val="14"/>
      <color indexed="8"/>
      <name val="Tahoma"/>
      <family val="2"/>
    </font>
    <font>
      <sz val="10"/>
      <name val="Arial"/>
      <family val="2"/>
    </font>
    <font>
      <sz val="12"/>
      <name val="Calibri"/>
      <family val="2"/>
      <scheme val="minor"/>
    </font>
    <font>
      <sz val="10"/>
      <name val="Calibri"/>
      <family val="2"/>
      <scheme val="minor"/>
    </font>
    <font>
      <b/>
      <sz val="12"/>
      <name val="Calibri"/>
      <family val="2"/>
      <scheme val="minor"/>
    </font>
    <font>
      <b/>
      <sz val="24"/>
      <name val="Calibri"/>
      <family val="2"/>
      <scheme val="minor"/>
    </font>
    <font>
      <sz val="20"/>
      <name val="Calibri"/>
      <family val="2"/>
      <scheme val="minor"/>
    </font>
    <font>
      <sz val="12"/>
      <color indexed="8"/>
      <name val="Calibri"/>
      <family val="2"/>
      <scheme val="minor"/>
    </font>
    <font>
      <b/>
      <sz val="8"/>
      <name val="Calibri"/>
      <family val="2"/>
      <scheme val="minor"/>
    </font>
    <font>
      <b/>
      <sz val="18"/>
      <color indexed="8"/>
      <name val="Calibri"/>
      <family val="2"/>
      <scheme val="minor"/>
    </font>
    <font>
      <b/>
      <sz val="18"/>
      <name val="Calibri"/>
      <family val="2"/>
      <scheme val="minor"/>
    </font>
    <font>
      <b/>
      <sz val="12"/>
      <color theme="0"/>
      <name val="Calibri"/>
      <family val="2"/>
      <scheme val="minor"/>
    </font>
    <font>
      <b/>
      <sz val="16"/>
      <color theme="0"/>
      <name val="Calibri"/>
      <family val="2"/>
      <scheme val="minor"/>
    </font>
    <font>
      <sz val="12"/>
      <name val="Calibri"/>
      <family val="2"/>
    </font>
    <font>
      <b/>
      <sz val="12"/>
      <color theme="0" tint="-0.14999847407452621"/>
      <name val="Calibri"/>
      <family val="2"/>
      <scheme val="minor"/>
    </font>
    <font>
      <sz val="11"/>
      <color rgb="FF006100"/>
      <name val="Calibri"/>
      <family val="2"/>
      <scheme val="minor"/>
    </font>
    <font>
      <sz val="11"/>
      <color rgb="FF9C5700"/>
      <name val="Calibri"/>
      <family val="2"/>
      <scheme val="minor"/>
    </font>
    <font>
      <b/>
      <sz val="11"/>
      <color rgb="FFFA7D0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11"/>
      <name val="Arial"/>
      <family val="2"/>
    </font>
    <font>
      <b/>
      <sz val="14"/>
      <color rgb="FFFFFFFF"/>
      <name val="Calibri"/>
      <family val="2"/>
    </font>
    <font>
      <sz val="9"/>
      <name val="Calibri"/>
      <family val="2"/>
    </font>
    <font>
      <b/>
      <sz val="12"/>
      <color theme="1"/>
      <name val="Calibri"/>
      <family val="2"/>
      <scheme val="minor"/>
    </font>
    <font>
      <sz val="12"/>
      <name val="Arial"/>
      <family val="2"/>
    </font>
    <font>
      <b/>
      <sz val="14"/>
      <color rgb="FFD9D9D9"/>
      <name val="Calibri"/>
      <family val="2"/>
    </font>
  </fonts>
  <fills count="27">
    <fill>
      <patternFill patternType="none"/>
    </fill>
    <fill>
      <patternFill patternType="gray125"/>
    </fill>
    <fill>
      <patternFill patternType="solid">
        <fgColor indexed="44"/>
        <bgColor indexed="26"/>
      </patternFill>
    </fill>
    <fill>
      <patternFill patternType="solid">
        <fgColor indexed="52"/>
        <bgColor indexed="19"/>
      </patternFill>
    </fill>
    <fill>
      <patternFill patternType="solid">
        <fgColor indexed="8"/>
        <bgColor indexed="58"/>
      </patternFill>
    </fill>
    <fill>
      <patternFill patternType="solid">
        <fgColor indexed="27"/>
        <bgColor indexed="42"/>
      </patternFill>
    </fill>
    <fill>
      <patternFill patternType="solid">
        <fgColor rgb="FF002060"/>
        <bgColor indexed="42"/>
      </patternFill>
    </fill>
    <fill>
      <patternFill patternType="solid">
        <fgColor rgb="FF002060"/>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theme="4" tint="0.59999389629810485"/>
        <bgColor indexed="65"/>
      </patternFill>
    </fill>
    <fill>
      <patternFill patternType="solid">
        <fgColor theme="7" tint="0.79998168889431442"/>
        <bgColor indexed="65"/>
      </patternFill>
    </fill>
    <fill>
      <patternFill patternType="solid">
        <fgColor theme="9"/>
      </patternFill>
    </fill>
    <fill>
      <patternFill patternType="solid">
        <fgColor theme="0"/>
        <bgColor indexed="64"/>
      </patternFill>
    </fill>
    <fill>
      <patternFill patternType="solid">
        <fgColor rgb="FFB4C6E7"/>
        <bgColor indexed="64"/>
      </patternFill>
    </fill>
    <fill>
      <patternFill patternType="solid">
        <fgColor rgb="FFFEF2CB"/>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CCFFFF"/>
        <bgColor indexed="64"/>
      </patternFill>
    </fill>
    <fill>
      <patternFill patternType="solid">
        <fgColor rgb="FFFF0000"/>
        <bgColor indexed="64"/>
      </patternFill>
    </fill>
    <fill>
      <patternFill patternType="solid">
        <fgColor rgb="FFC00000"/>
        <bgColor indexed="64"/>
      </patternFill>
    </fill>
    <fill>
      <patternFill patternType="solid">
        <fgColor rgb="FFFFFFFF"/>
        <bgColor indexed="64"/>
      </patternFill>
    </fill>
    <fill>
      <patternFill patternType="solid">
        <fgColor rgb="FFA6A6A6"/>
        <bgColor indexed="64"/>
      </patternFill>
    </fill>
    <fill>
      <patternFill patternType="solid">
        <fgColor rgb="FF33CC33"/>
        <bgColor indexed="64"/>
      </patternFill>
    </fill>
    <fill>
      <patternFill patternType="solid">
        <fgColor rgb="FFFFC000"/>
        <bgColor indexed="64"/>
      </patternFill>
    </fill>
  </fills>
  <borders count="19">
    <border>
      <left/>
      <right/>
      <top/>
      <bottom/>
      <diagonal/>
    </border>
    <border>
      <left style="hair">
        <color indexed="8"/>
      </left>
      <right style="hair">
        <color indexed="8"/>
      </right>
      <top style="hair">
        <color indexed="8"/>
      </top>
      <bottom style="hair">
        <color indexed="8"/>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dotted">
        <color rgb="FF000000"/>
      </right>
      <top style="medium">
        <color rgb="FFCCCCCC"/>
      </top>
      <bottom style="dotted">
        <color rgb="FF000000"/>
      </bottom>
      <diagonal/>
    </border>
    <border>
      <left style="medium">
        <color rgb="FFCCCCCC"/>
      </left>
      <right style="dotted">
        <color rgb="FF000000"/>
      </right>
      <top style="medium">
        <color rgb="FFCCCCCC"/>
      </top>
      <bottom style="dotted">
        <color rgb="FF000000"/>
      </bottom>
      <diagonal/>
    </border>
    <border>
      <left style="medium">
        <color rgb="FF000000"/>
      </left>
      <right style="dotted">
        <color rgb="FF000000"/>
      </right>
      <top/>
      <bottom style="dotted">
        <color rgb="FF000000"/>
      </bottom>
      <diagonal/>
    </border>
    <border>
      <left style="medium">
        <color rgb="FFCCCCCC"/>
      </left>
      <right style="dotted">
        <color rgb="FF000000"/>
      </right>
      <top/>
      <bottom style="dotted">
        <color rgb="FF000000"/>
      </bottom>
      <diagonal/>
    </border>
    <border>
      <left style="thin">
        <color indexed="64"/>
      </left>
      <right style="thin">
        <color indexed="64"/>
      </right>
      <top/>
      <bottom/>
      <diagonal/>
    </border>
    <border>
      <left style="hair">
        <color indexed="8"/>
      </left>
      <right/>
      <top style="hair">
        <color indexed="8"/>
      </top>
      <bottom/>
      <diagonal/>
    </border>
    <border>
      <left/>
      <right/>
      <top style="hair">
        <color indexed="8"/>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4" fillId="2" borderId="0" applyNumberFormat="0" applyBorder="0" applyAlignment="0" applyProtection="0"/>
    <xf numFmtId="0" fontId="4" fillId="0" borderId="0"/>
    <xf numFmtId="0" fontId="2" fillId="3" borderId="0" applyNumberFormat="0" applyBorder="0" applyProtection="0">
      <alignment horizontal="center" vertical="center"/>
    </xf>
    <xf numFmtId="0" fontId="2" fillId="4" borderId="0">
      <alignment horizontal="center" vertical="center"/>
    </xf>
    <xf numFmtId="0" fontId="16" fillId="0" borderId="0">
      <alignment horizontal="center" vertical="center" shrinkToFit="1"/>
    </xf>
    <xf numFmtId="0" fontId="18" fillId="8" borderId="0" applyNumberFormat="0" applyBorder="0" applyAlignment="0" applyProtection="0"/>
    <xf numFmtId="0" fontId="19" fillId="9" borderId="0" applyNumberFormat="0" applyBorder="0" applyAlignment="0" applyProtection="0"/>
    <xf numFmtId="0" fontId="20" fillId="10" borderId="2" applyNumberFormat="0" applyAlignment="0" applyProtection="0"/>
    <xf numFmtId="0" fontId="1" fillId="11" borderId="0" applyNumberFormat="0" applyBorder="0" applyAlignment="0" applyProtection="0"/>
    <xf numFmtId="0" fontId="1" fillId="12" borderId="0" applyNumberFormat="0" applyBorder="0" applyAlignment="0" applyProtection="0"/>
    <xf numFmtId="0" fontId="22" fillId="13" borderId="0" applyNumberFormat="0" applyBorder="0" applyAlignment="0" applyProtection="0"/>
  </cellStyleXfs>
  <cellXfs count="101">
    <xf numFmtId="0" fontId="0" fillId="0" borderId="0" xfId="0"/>
    <xf numFmtId="0" fontId="9" fillId="0" borderId="0" xfId="2" applyFont="1" applyAlignment="1">
      <alignment vertical="center"/>
    </xf>
    <xf numFmtId="0" fontId="5" fillId="0" borderId="0" xfId="2" applyFont="1" applyAlignment="1">
      <alignment horizontal="center" vertical="center"/>
    </xf>
    <xf numFmtId="0" fontId="6" fillId="0" borderId="0" xfId="2" applyFont="1" applyAlignment="1">
      <alignment horizontal="center" vertical="center"/>
    </xf>
    <xf numFmtId="0" fontId="6" fillId="0" borderId="0" xfId="0" applyFont="1" applyAlignment="1">
      <alignment vertical="center"/>
    </xf>
    <xf numFmtId="0" fontId="5" fillId="0" borderId="0" xfId="2" applyFont="1" applyAlignment="1">
      <alignment vertical="center"/>
    </xf>
    <xf numFmtId="0" fontId="7" fillId="0" borderId="0" xfId="2" applyFont="1" applyAlignment="1">
      <alignment horizontal="center" vertical="center" wrapText="1"/>
    </xf>
    <xf numFmtId="0" fontId="6" fillId="0" borderId="0" xfId="2" applyFont="1" applyAlignment="1">
      <alignment vertical="center"/>
    </xf>
    <xf numFmtId="0" fontId="11" fillId="0" borderId="0" xfId="2" applyFont="1" applyAlignment="1">
      <alignment horizontal="center" vertical="center" wrapText="1"/>
    </xf>
    <xf numFmtId="0" fontId="13" fillId="0" borderId="0" xfId="2" applyFont="1" applyAlignment="1" applyProtection="1">
      <alignment wrapText="1"/>
      <protection locked="0"/>
    </xf>
    <xf numFmtId="0" fontId="5" fillId="0" borderId="0" xfId="2" applyFont="1" applyAlignment="1" applyProtection="1">
      <alignment horizontal="center" wrapText="1"/>
      <protection locked="0"/>
    </xf>
    <xf numFmtId="0" fontId="6" fillId="0" borderId="0" xfId="2" applyFont="1" applyAlignment="1" applyProtection="1">
      <alignment vertical="center" wrapText="1"/>
      <protection locked="0"/>
    </xf>
    <xf numFmtId="0" fontId="17" fillId="0" borderId="0" xfId="3" applyNumberFormat="1" applyFont="1" applyFill="1" applyBorder="1" applyProtection="1">
      <alignment horizontal="center" vertical="center"/>
      <protection locked="0"/>
    </xf>
    <xf numFmtId="0" fontId="8" fillId="0" borderId="1" xfId="2" applyFont="1" applyBorder="1" applyAlignment="1">
      <alignment horizontal="center" vertical="center"/>
    </xf>
    <xf numFmtId="0" fontId="10" fillId="0" borderId="0" xfId="2" applyFont="1" applyAlignment="1">
      <alignment horizontal="center" vertical="center" shrinkToFit="1"/>
    </xf>
    <xf numFmtId="0" fontId="5" fillId="0" borderId="0" xfId="2" applyFont="1" applyAlignment="1">
      <alignment horizontal="center" vertical="center" shrinkToFit="1"/>
    </xf>
    <xf numFmtId="0" fontId="6" fillId="0" borderId="0" xfId="2" applyFont="1" applyAlignment="1">
      <alignment horizontal="center" vertical="center" shrinkToFit="1"/>
    </xf>
    <xf numFmtId="0" fontId="5" fillId="0" borderId="0" xfId="2" applyFont="1" applyAlignment="1" applyProtection="1">
      <alignment vertical="center" wrapText="1"/>
      <protection locked="0"/>
    </xf>
    <xf numFmtId="0" fontId="7" fillId="0" borderId="1" xfId="2" applyFont="1" applyBorder="1" applyAlignment="1">
      <alignment horizontal="center" vertical="center" wrapText="1"/>
    </xf>
    <xf numFmtId="0" fontId="21" fillId="11" borderId="3" xfId="9" applyFont="1" applyBorder="1" applyAlignment="1">
      <alignment horizontal="center" vertical="center" wrapText="1"/>
    </xf>
    <xf numFmtId="0" fontId="21" fillId="12" borderId="3" xfId="10" applyFont="1" applyBorder="1" applyAlignment="1">
      <alignment horizontal="center" vertical="center" wrapText="1"/>
    </xf>
    <xf numFmtId="0" fontId="21" fillId="9" borderId="3" xfId="7" applyFont="1" applyBorder="1" applyAlignment="1">
      <alignment horizontal="center" vertical="center" wrapText="1"/>
    </xf>
    <xf numFmtId="0" fontId="21" fillId="8" borderId="3" xfId="6" applyFont="1" applyBorder="1" applyAlignment="1">
      <alignment horizontal="center" vertical="center" wrapText="1"/>
    </xf>
    <xf numFmtId="0" fontId="21" fillId="14" borderId="3" xfId="11" applyFont="1" applyFill="1" applyBorder="1" applyAlignment="1">
      <alignment horizontal="center" vertical="center" wrapText="1"/>
    </xf>
    <xf numFmtId="0" fontId="23" fillId="10" borderId="3" xfId="8" applyFont="1" applyBorder="1" applyAlignment="1">
      <alignment horizontal="center" vertical="center" wrapText="1"/>
    </xf>
    <xf numFmtId="0" fontId="1" fillId="11" borderId="3" xfId="9" applyBorder="1" applyAlignment="1">
      <alignment horizontal="center" vertical="center" wrapText="1"/>
    </xf>
    <xf numFmtId="0" fontId="24" fillId="15" borderId="3" xfId="0" applyFont="1" applyFill="1" applyBorder="1" applyAlignment="1">
      <alignment horizontal="center" vertical="center" wrapText="1"/>
    </xf>
    <xf numFmtId="14" fontId="25" fillId="15" borderId="5" xfId="0" applyNumberFormat="1" applyFont="1" applyFill="1" applyBorder="1" applyAlignment="1">
      <alignment horizontal="center" vertical="center" wrapText="1"/>
    </xf>
    <xf numFmtId="0" fontId="25" fillId="15" borderId="7" xfId="0" applyFont="1" applyFill="1" applyBorder="1" applyAlignment="1">
      <alignment vertical="center" wrapText="1"/>
    </xf>
    <xf numFmtId="14" fontId="25" fillId="15" borderId="6" xfId="0" applyNumberFormat="1" applyFont="1" applyFill="1" applyBorder="1" applyAlignment="1">
      <alignment horizontal="center" vertical="center" wrapText="1"/>
    </xf>
    <xf numFmtId="0" fontId="25" fillId="15" borderId="8" xfId="0" applyFont="1" applyFill="1" applyBorder="1" applyAlignment="1">
      <alignment vertical="center" wrapText="1"/>
    </xf>
    <xf numFmtId="0" fontId="25" fillId="16" borderId="5" xfId="0" applyFont="1" applyFill="1" applyBorder="1" applyAlignment="1">
      <alignment vertical="center" wrapText="1"/>
    </xf>
    <xf numFmtId="0" fontId="25" fillId="17" borderId="7" xfId="0" applyFont="1" applyFill="1" applyBorder="1" applyAlignment="1">
      <alignment vertical="center" wrapText="1"/>
    </xf>
    <xf numFmtId="0" fontId="25" fillId="0" borderId="7" xfId="0" applyFont="1" applyBorder="1" applyAlignment="1">
      <alignment vertical="center" wrapText="1"/>
    </xf>
    <xf numFmtId="0" fontId="25" fillId="16" borderId="6" xfId="0" applyFont="1" applyFill="1" applyBorder="1" applyAlignment="1">
      <alignment vertical="center" wrapText="1"/>
    </xf>
    <xf numFmtId="0" fontId="25" fillId="17" borderId="8" xfId="0" applyFont="1" applyFill="1" applyBorder="1" applyAlignment="1">
      <alignment vertical="center" wrapText="1"/>
    </xf>
    <xf numFmtId="0" fontId="25" fillId="0" borderId="8" xfId="0" applyFont="1" applyBorder="1" applyAlignment="1">
      <alignment vertical="center" wrapText="1"/>
    </xf>
    <xf numFmtId="0" fontId="5" fillId="0" borderId="9" xfId="0" applyFont="1" applyBorder="1" applyAlignment="1">
      <alignment horizontal="center" vertical="center" wrapText="1"/>
    </xf>
    <xf numFmtId="0" fontId="5" fillId="0" borderId="10" xfId="0" applyFont="1" applyBorder="1" applyAlignment="1">
      <alignment horizontal="right" vertical="center" wrapText="1"/>
    </xf>
    <xf numFmtId="0" fontId="5" fillId="0" borderId="11" xfId="0" applyFont="1" applyBorder="1" applyAlignment="1">
      <alignment horizontal="center" vertical="center" wrapText="1"/>
    </xf>
    <xf numFmtId="0" fontId="5" fillId="0" borderId="12" xfId="0" applyFont="1" applyBorder="1" applyAlignment="1">
      <alignment horizontal="right" vertical="center" wrapText="1"/>
    </xf>
    <xf numFmtId="0" fontId="14" fillId="6" borderId="3" xfId="2" applyFont="1" applyFill="1" applyBorder="1" applyAlignment="1" applyProtection="1">
      <alignment horizontal="center" vertical="center" wrapText="1"/>
      <protection locked="0"/>
    </xf>
    <xf numFmtId="0" fontId="15" fillId="6" borderId="3" xfId="2" applyFont="1" applyFill="1" applyBorder="1" applyAlignment="1" applyProtection="1">
      <alignment horizontal="center" vertical="center" shrinkToFit="1"/>
      <protection locked="0"/>
    </xf>
    <xf numFmtId="0" fontId="5" fillId="0" borderId="3" xfId="0" applyFont="1" applyBorder="1" applyAlignment="1">
      <alignment horizontal="center" vertical="center" wrapText="1"/>
    </xf>
    <xf numFmtId="0" fontId="5" fillId="0" borderId="3" xfId="0" applyFont="1" applyBorder="1" applyAlignment="1">
      <alignment horizontal="right" vertical="center" wrapText="1"/>
    </xf>
    <xf numFmtId="0" fontId="6" fillId="0" borderId="3" xfId="0" applyFont="1" applyBorder="1" applyAlignment="1">
      <alignment vertical="center" wrapText="1"/>
    </xf>
    <xf numFmtId="0" fontId="6" fillId="0" borderId="13" xfId="0" applyFont="1" applyBorder="1" applyAlignment="1">
      <alignment vertical="center" wrapText="1"/>
    </xf>
    <xf numFmtId="0" fontId="0" fillId="0" borderId="4" xfId="0" applyBorder="1" applyAlignment="1">
      <alignment vertical="center" wrapText="1"/>
    </xf>
    <xf numFmtId="0" fontId="0" fillId="0" borderId="4" xfId="0" applyBorder="1" applyAlignment="1">
      <alignment wrapText="1"/>
    </xf>
    <xf numFmtId="0" fontId="15" fillId="6" borderId="3" xfId="2" applyFont="1" applyFill="1" applyBorder="1" applyAlignment="1" applyProtection="1">
      <alignment horizontal="center" vertical="center" wrapText="1"/>
      <protection locked="0"/>
    </xf>
    <xf numFmtId="0" fontId="12" fillId="5" borderId="3" xfId="2" applyFont="1" applyFill="1" applyBorder="1" applyAlignment="1" applyProtection="1">
      <alignment horizontal="center" vertical="center" wrapText="1"/>
      <protection locked="0"/>
    </xf>
    <xf numFmtId="0" fontId="5" fillId="0" borderId="3" xfId="2" applyFont="1" applyBorder="1" applyAlignment="1" applyProtection="1">
      <alignment horizontal="center" vertical="center" wrapText="1"/>
      <protection locked="0"/>
    </xf>
    <xf numFmtId="0" fontId="5" fillId="0" borderId="3" xfId="2" applyFont="1" applyBorder="1" applyAlignment="1" applyProtection="1">
      <alignment horizontal="right" vertical="center" shrinkToFit="1"/>
      <protection locked="0"/>
    </xf>
    <xf numFmtId="0" fontId="5" fillId="0" borderId="3" xfId="2" applyFont="1" applyBorder="1" applyAlignment="1">
      <alignment horizontal="center" vertical="center" shrinkToFit="1"/>
    </xf>
    <xf numFmtId="0" fontId="0" fillId="0" borderId="3" xfId="0" applyBorder="1" applyAlignment="1">
      <alignment vertical="center" wrapText="1"/>
    </xf>
    <xf numFmtId="0" fontId="6" fillId="0" borderId="3" xfId="2" applyFont="1" applyBorder="1" applyAlignment="1" applyProtection="1">
      <alignment vertical="center" wrapText="1"/>
      <protection locked="0"/>
    </xf>
    <xf numFmtId="0" fontId="5" fillId="0" borderId="3" xfId="2" applyFont="1" applyBorder="1" applyAlignment="1" applyProtection="1">
      <alignment horizontal="right" vertical="center" wrapText="1" shrinkToFit="1"/>
      <protection locked="0"/>
    </xf>
    <xf numFmtId="0" fontId="25" fillId="19" borderId="7" xfId="0" applyFont="1" applyFill="1" applyBorder="1" applyAlignment="1">
      <alignment horizontal="center" vertical="center" wrapText="1"/>
    </xf>
    <xf numFmtId="0" fontId="25" fillId="19" borderId="8" xfId="0" applyFont="1" applyFill="1" applyBorder="1" applyAlignment="1">
      <alignment horizontal="center" vertical="center" wrapText="1"/>
    </xf>
    <xf numFmtId="14" fontId="25" fillId="19" borderId="7" xfId="0" applyNumberFormat="1" applyFont="1" applyFill="1" applyBorder="1" applyAlignment="1">
      <alignment horizontal="center" vertical="center" wrapText="1"/>
    </xf>
    <xf numFmtId="14" fontId="25" fillId="19" borderId="8" xfId="0" applyNumberFormat="1" applyFont="1" applyFill="1" applyBorder="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14" fontId="25" fillId="0" borderId="7" xfId="0" applyNumberFormat="1" applyFont="1" applyBorder="1" applyAlignment="1">
      <alignment horizontal="center" vertical="center" wrapText="1"/>
    </xf>
    <xf numFmtId="14" fontId="25" fillId="0" borderId="8" xfId="0" applyNumberFormat="1" applyFont="1" applyBorder="1" applyAlignment="1">
      <alignment horizontal="center" vertical="center" wrapText="1"/>
    </xf>
    <xf numFmtId="0" fontId="21" fillId="0" borderId="3" xfId="0" applyFont="1" applyBorder="1" applyAlignment="1">
      <alignment horizontal="center" vertical="center"/>
    </xf>
    <xf numFmtId="0" fontId="26" fillId="7" borderId="3" xfId="0" applyFont="1" applyFill="1" applyBorder="1" applyAlignment="1">
      <alignment horizontal="center" vertical="center" wrapText="1"/>
    </xf>
    <xf numFmtId="0" fontId="28" fillId="0" borderId="3" xfId="0" applyFont="1" applyBorder="1" applyAlignment="1">
      <alignment horizontal="center" vertical="center"/>
    </xf>
    <xf numFmtId="0" fontId="29" fillId="0" borderId="3" xfId="0" applyFont="1" applyBorder="1" applyAlignment="1">
      <alignment horizontal="center" vertical="center"/>
    </xf>
    <xf numFmtId="0" fontId="25" fillId="17" borderId="7" xfId="0" applyFont="1" applyFill="1" applyBorder="1" applyAlignment="1">
      <alignment horizontal="center" vertical="center" wrapText="1"/>
    </xf>
    <xf numFmtId="0" fontId="25" fillId="18" borderId="7" xfId="0" applyFont="1" applyFill="1" applyBorder="1" applyAlignment="1">
      <alignment horizontal="center" vertical="center" wrapText="1"/>
    </xf>
    <xf numFmtId="0" fontId="25" fillId="17" borderId="8" xfId="0" applyFont="1" applyFill="1" applyBorder="1" applyAlignment="1">
      <alignment horizontal="center" vertical="center" wrapText="1"/>
    </xf>
    <xf numFmtId="0" fontId="25" fillId="18" borderId="8" xfId="0" applyFont="1" applyFill="1" applyBorder="1" applyAlignment="1">
      <alignment horizontal="center" vertical="center" wrapText="1"/>
    </xf>
    <xf numFmtId="0" fontId="25" fillId="16" borderId="7" xfId="0" applyFont="1" applyFill="1" applyBorder="1" applyAlignment="1">
      <alignment horizontal="center" vertical="center" wrapText="1"/>
    </xf>
    <xf numFmtId="0" fontId="25" fillId="16" borderId="8" xfId="0" applyFont="1" applyFill="1" applyBorder="1" applyAlignment="1">
      <alignment horizontal="center" vertical="center" wrapText="1"/>
    </xf>
    <xf numFmtId="0" fontId="25" fillId="15" borderId="7" xfId="0" applyFont="1" applyFill="1" applyBorder="1" applyAlignment="1">
      <alignment horizontal="center" vertical="center" wrapText="1"/>
    </xf>
    <xf numFmtId="0" fontId="25" fillId="15" borderId="8" xfId="0" applyFont="1" applyFill="1" applyBorder="1" applyAlignment="1">
      <alignment horizontal="center" vertical="center" wrapText="1"/>
    </xf>
    <xf numFmtId="0" fontId="5" fillId="25" borderId="3" xfId="2" applyFont="1" applyFill="1" applyBorder="1" applyAlignment="1">
      <alignment horizontal="center" vertical="center" shrinkToFit="1"/>
    </xf>
    <xf numFmtId="0" fontId="30" fillId="23" borderId="3" xfId="0" applyFont="1" applyFill="1" applyBorder="1" applyAlignment="1">
      <alignment horizontal="center" vertical="center" wrapText="1"/>
    </xf>
    <xf numFmtId="0" fontId="26" fillId="22" borderId="3" xfId="0" applyFont="1" applyFill="1" applyBorder="1" applyAlignment="1">
      <alignment horizontal="center" vertical="center" wrapText="1"/>
    </xf>
    <xf numFmtId="0" fontId="26" fillId="25" borderId="3" xfId="0" applyFont="1" applyFill="1" applyBorder="1" applyAlignment="1">
      <alignment horizontal="center" vertical="center" wrapText="1"/>
    </xf>
    <xf numFmtId="0" fontId="26" fillId="24" borderId="3" xfId="0" applyFont="1" applyFill="1" applyBorder="1" applyAlignment="1">
      <alignment horizontal="center" vertical="center" wrapText="1"/>
    </xf>
    <xf numFmtId="0" fontId="26" fillId="26" borderId="3" xfId="0" applyFont="1" applyFill="1" applyBorder="1" applyAlignment="1">
      <alignment horizontal="center" vertical="center" wrapText="1"/>
    </xf>
    <xf numFmtId="0" fontId="5" fillId="26" borderId="3" xfId="2" applyFont="1" applyFill="1" applyBorder="1" applyAlignment="1">
      <alignment horizontal="center" vertical="center" shrinkToFit="1"/>
    </xf>
    <xf numFmtId="0" fontId="5" fillId="21" borderId="3" xfId="2" applyFont="1" applyFill="1" applyBorder="1" applyAlignment="1">
      <alignment horizontal="center" vertical="center" shrinkToFit="1"/>
    </xf>
    <xf numFmtId="0" fontId="6" fillId="0" borderId="0" xfId="0" applyFont="1" applyAlignment="1">
      <alignment vertical="center" wrapText="1"/>
    </xf>
    <xf numFmtId="0" fontId="21" fillId="11" borderId="3" xfId="9" applyFont="1" applyBorder="1" applyAlignment="1">
      <alignment horizontal="center" vertical="center" wrapText="1"/>
    </xf>
    <xf numFmtId="0" fontId="21" fillId="12" borderId="3" xfId="10" applyFont="1" applyBorder="1" applyAlignment="1">
      <alignment horizontal="center" vertical="center" wrapText="1"/>
    </xf>
    <xf numFmtId="0" fontId="21" fillId="9" borderId="3" xfId="7" applyFont="1" applyBorder="1" applyAlignment="1">
      <alignment horizontal="center" vertical="center" wrapText="1"/>
    </xf>
    <xf numFmtId="0" fontId="21" fillId="14" borderId="3" xfId="11" applyFont="1" applyFill="1" applyBorder="1" applyAlignment="1">
      <alignment horizontal="center" vertical="center" wrapText="1"/>
    </xf>
    <xf numFmtId="0" fontId="23" fillId="10" borderId="3" xfId="8" applyFont="1" applyBorder="1" applyAlignment="1">
      <alignment horizontal="center" vertical="center" wrapText="1"/>
    </xf>
    <xf numFmtId="0" fontId="21" fillId="8" borderId="16" xfId="6" applyFont="1" applyBorder="1" applyAlignment="1">
      <alignment horizontal="center" vertical="center" wrapText="1"/>
    </xf>
    <xf numFmtId="0" fontId="21" fillId="8" borderId="18" xfId="6" applyFont="1" applyBorder="1" applyAlignment="1">
      <alignment horizontal="center" vertical="center" wrapText="1"/>
    </xf>
    <xf numFmtId="0" fontId="12" fillId="5" borderId="3" xfId="2" applyFont="1" applyFill="1" applyBorder="1" applyAlignment="1" applyProtection="1">
      <alignment horizontal="left" vertical="center" shrinkToFit="1"/>
      <protection locked="0"/>
    </xf>
    <xf numFmtId="0" fontId="26" fillId="7" borderId="3" xfId="0" applyFont="1" applyFill="1" applyBorder="1" applyAlignment="1">
      <alignment horizontal="center" vertical="center" wrapText="1"/>
    </xf>
    <xf numFmtId="0" fontId="8" fillId="0" borderId="14" xfId="2" applyFont="1" applyBorder="1" applyAlignment="1">
      <alignment horizontal="center" vertical="center"/>
    </xf>
    <xf numFmtId="0" fontId="8" fillId="0" borderId="15" xfId="2" applyFont="1" applyBorder="1" applyAlignment="1">
      <alignment horizontal="center" vertical="center"/>
    </xf>
    <xf numFmtId="0" fontId="27" fillId="0" borderId="3" xfId="0" applyFont="1" applyBorder="1" applyAlignment="1">
      <alignment horizontal="left" vertical="center" wrapText="1"/>
    </xf>
    <xf numFmtId="0" fontId="13" fillId="20" borderId="16" xfId="0" applyFont="1" applyFill="1" applyBorder="1" applyAlignment="1">
      <alignment horizontal="center" vertical="center" wrapText="1"/>
    </xf>
    <xf numFmtId="0" fontId="13" fillId="20" borderId="17" xfId="0" applyFont="1" applyFill="1" applyBorder="1" applyAlignment="1">
      <alignment horizontal="center" vertical="center" wrapText="1"/>
    </xf>
    <xf numFmtId="0" fontId="13" fillId="20" borderId="18" xfId="0" applyFont="1" applyFill="1" applyBorder="1" applyAlignment="1">
      <alignment horizontal="center" vertical="center" wrapText="1"/>
    </xf>
  </cellXfs>
  <cellStyles count="12">
    <cellStyle name="_state_yes" xfId="1" xr:uid="{00000000-0005-0000-0000-000000000000}"/>
    <cellStyle name="20% - Accent4" xfId="10" builtinId="42"/>
    <cellStyle name="40% - Accent1" xfId="9" builtinId="31"/>
    <cellStyle name="Accent6" xfId="11" builtinId="49"/>
    <cellStyle name="Calculation" xfId="8" builtinId="22"/>
    <cellStyle name="ConditionalStyle_0" xfId="4" xr:uid="{00000000-0005-0000-0000-000001000000}"/>
    <cellStyle name="ConditionalStyle_2" xfId="3" xr:uid="{00000000-0005-0000-0000-000002000000}"/>
    <cellStyle name="Excel Built-in Normal" xfId="2" xr:uid="{00000000-0005-0000-0000-000003000000}"/>
    <cellStyle name="Good" xfId="6" builtinId="26"/>
    <cellStyle name="Neutral" xfId="7" builtinId="28"/>
    <cellStyle name="Normal" xfId="0" builtinId="0"/>
    <cellStyle name="Status" xfId="5" xr:uid="{00000000-0005-0000-0000-000006000000}"/>
  </cellStyles>
  <dxfs count="33">
    <dxf>
      <font>
        <color theme="0"/>
      </font>
      <fill>
        <patternFill>
          <bgColor theme="0" tint="-0.34998626667073579"/>
        </patternFill>
      </fill>
    </dxf>
    <dxf>
      <font>
        <color theme="0"/>
      </font>
      <fill>
        <patternFill>
          <bgColor rgb="FFFF00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rgb="FFFF00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b val="0"/>
        <i val="0"/>
        <strike val="0"/>
        <condense val="0"/>
        <extend val="0"/>
        <u val="none"/>
        <sz val="10"/>
        <color indexed="0"/>
      </font>
      <fill>
        <patternFill patternType="solid">
          <fgColor indexed="26"/>
          <bgColor indexed="44"/>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font>
      <fill>
        <patternFill>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CC00"/>
      <rgbColor rgb="000000FF"/>
      <rgbColor rgb="00FFFF00"/>
      <rgbColor rgb="00FF00FF"/>
      <rgbColor rgb="0066FF66"/>
      <rgbColor rgb="00800000"/>
      <rgbColor rgb="00008000"/>
      <rgbColor rgb="00000080"/>
      <rgbColor rgb="00808000"/>
      <rgbColor rgb="00800080"/>
      <rgbColor rgb="00009999"/>
      <rgbColor rgb="00B2B2B2"/>
      <rgbColor rgb="00808080"/>
      <rgbColor rgb="009999FF"/>
      <rgbColor rgb="00993366"/>
      <rgbColor rgb="00CCFF99"/>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6E6FF"/>
      <rgbColor rgb="00CCFFCC"/>
      <rgbColor rgb="00FFFF66"/>
      <rgbColor rgb="00A0FFA0"/>
      <rgbColor rgb="00FF99CC"/>
      <rgbColor rgb="00CC99FF"/>
      <rgbColor rgb="00FFCC99"/>
      <rgbColor rgb="003366FF"/>
      <rgbColor rgb="0033FF99"/>
      <rgbColor rgb="0099FF33"/>
      <rgbColor rgb="00FFCC00"/>
      <rgbColor rgb="00CC9900"/>
      <rgbColor rgb="00FF6600"/>
      <rgbColor rgb="00666699"/>
      <rgbColor rgb="00969696"/>
      <rgbColor rgb="00003366"/>
      <rgbColor rgb="00339966"/>
      <rgbColor rgb="00003300"/>
      <rgbColor rgb="00333300"/>
      <rgbColor rgb="00993300"/>
      <rgbColor rgb="00993366"/>
      <rgbColor rgb="00333399"/>
      <rgbColor rgb="00333333"/>
    </indexedColors>
    <mruColors>
      <color rgb="FF33CC33"/>
      <color rgb="FF336600"/>
      <color rgb="FF8E00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a:t> </a:t>
            </a:r>
            <a:r>
              <a:rPr lang="en-GB" sz="1400" b="0" i="0" u="none" strike="noStrike" kern="1200" spc="0" baseline="0">
                <a:solidFill>
                  <a:sysClr val="windowText" lastClr="000000">
                    <a:lumMod val="65000"/>
                    <a:lumOff val="35000"/>
                  </a:sysClr>
                </a:solidFill>
              </a:rPr>
              <a:t>Gap Analysis Compliance Levels - ISO/IEC 27001:2022 Annex A Controls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layout>
        <c:manualLayout>
          <c:xMode val="edge"/>
          <c:yMode val="edge"/>
          <c:x val="0.1616734470691163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'Annex A controls &amp; Gap Analysis'!$H$19</c:f>
              <c:strCache>
                <c:ptCount val="1"/>
                <c:pt idx="0">
                  <c:v>Fully Compliant</c:v>
                </c:pt>
              </c:strCache>
            </c:strRef>
          </c:tx>
          <c:spPr>
            <a:solidFill>
              <a:schemeClr val="accent1"/>
            </a:solidFill>
            <a:ln>
              <a:noFill/>
            </a:ln>
            <a:effectLst/>
          </c:spPr>
          <c:invertIfNegative val="0"/>
          <c:cat>
            <c:strRef>
              <c:f>'Annex A controls &amp; Gap Analysis'!$G$20:$G$23</c:f>
              <c:strCache>
                <c:ptCount val="4"/>
                <c:pt idx="0">
                  <c:v>A.5</c:v>
                </c:pt>
                <c:pt idx="1">
                  <c:v>A.6</c:v>
                </c:pt>
                <c:pt idx="2">
                  <c:v>A.7</c:v>
                </c:pt>
                <c:pt idx="3">
                  <c:v>A.8</c:v>
                </c:pt>
              </c:strCache>
            </c:strRef>
          </c:cat>
          <c:val>
            <c:numRef>
              <c:f>'Annex A controls &amp; Gap Analysis'!$H$20:$H$23</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F491-40F8-8DC7-9AFBFC0DD1E8}"/>
            </c:ext>
          </c:extLst>
        </c:ser>
        <c:ser>
          <c:idx val="1"/>
          <c:order val="1"/>
          <c:tx>
            <c:strRef>
              <c:f>'Annex A controls &amp; Gap Analysis'!$I$19</c:f>
              <c:strCache>
                <c:ptCount val="1"/>
                <c:pt idx="0">
                  <c:v>Partly Compliant</c:v>
                </c:pt>
              </c:strCache>
            </c:strRef>
          </c:tx>
          <c:spPr>
            <a:solidFill>
              <a:schemeClr val="accent2"/>
            </a:solidFill>
            <a:ln>
              <a:noFill/>
            </a:ln>
            <a:effectLst/>
          </c:spPr>
          <c:invertIfNegative val="0"/>
          <c:cat>
            <c:strRef>
              <c:f>'Annex A controls &amp; Gap Analysis'!$G$20:$G$23</c:f>
              <c:strCache>
                <c:ptCount val="4"/>
                <c:pt idx="0">
                  <c:v>A.5</c:v>
                </c:pt>
                <c:pt idx="1">
                  <c:v>A.6</c:v>
                </c:pt>
                <c:pt idx="2">
                  <c:v>A.7</c:v>
                </c:pt>
                <c:pt idx="3">
                  <c:v>A.8</c:v>
                </c:pt>
              </c:strCache>
            </c:strRef>
          </c:cat>
          <c:val>
            <c:numRef>
              <c:f>'Annex A controls &amp; Gap Analysis'!$I$20:$I$23</c:f>
              <c:numCache>
                <c:formatCode>General</c:formatCode>
                <c:ptCount val="4"/>
                <c:pt idx="0">
                  <c:v>19</c:v>
                </c:pt>
                <c:pt idx="1">
                  <c:v>5</c:v>
                </c:pt>
                <c:pt idx="2">
                  <c:v>6</c:v>
                </c:pt>
                <c:pt idx="3">
                  <c:v>16</c:v>
                </c:pt>
              </c:numCache>
            </c:numRef>
          </c:val>
          <c:extLst>
            <c:ext xmlns:c16="http://schemas.microsoft.com/office/drawing/2014/chart" uri="{C3380CC4-5D6E-409C-BE32-E72D297353CC}">
              <c16:uniqueId val="{00000001-F491-40F8-8DC7-9AFBFC0DD1E8}"/>
            </c:ext>
          </c:extLst>
        </c:ser>
        <c:ser>
          <c:idx val="2"/>
          <c:order val="2"/>
          <c:tx>
            <c:strRef>
              <c:f>'Annex A controls &amp; Gap Analysis'!$J$19</c:f>
              <c:strCache>
                <c:ptCount val="1"/>
                <c:pt idx="0">
                  <c:v>Nonexistence</c:v>
                </c:pt>
              </c:strCache>
            </c:strRef>
          </c:tx>
          <c:spPr>
            <a:solidFill>
              <a:schemeClr val="accent3"/>
            </a:solidFill>
            <a:ln>
              <a:noFill/>
            </a:ln>
            <a:effectLst/>
          </c:spPr>
          <c:invertIfNegative val="0"/>
          <c:cat>
            <c:strRef>
              <c:f>'Annex A controls &amp; Gap Analysis'!$G$20:$G$23</c:f>
              <c:strCache>
                <c:ptCount val="4"/>
                <c:pt idx="0">
                  <c:v>A.5</c:v>
                </c:pt>
                <c:pt idx="1">
                  <c:v>A.6</c:v>
                </c:pt>
                <c:pt idx="2">
                  <c:v>A.7</c:v>
                </c:pt>
                <c:pt idx="3">
                  <c:v>A.8</c:v>
                </c:pt>
              </c:strCache>
            </c:strRef>
          </c:cat>
          <c:val>
            <c:numRef>
              <c:f>'Annex A controls &amp; Gap Analysis'!$J$20:$J$23</c:f>
              <c:numCache>
                <c:formatCode>General</c:formatCode>
                <c:ptCount val="4"/>
                <c:pt idx="0">
                  <c:v>17</c:v>
                </c:pt>
                <c:pt idx="1">
                  <c:v>2</c:v>
                </c:pt>
                <c:pt idx="2">
                  <c:v>7</c:v>
                </c:pt>
                <c:pt idx="3">
                  <c:v>17</c:v>
                </c:pt>
              </c:numCache>
            </c:numRef>
          </c:val>
          <c:extLst>
            <c:ext xmlns:c16="http://schemas.microsoft.com/office/drawing/2014/chart" uri="{C3380CC4-5D6E-409C-BE32-E72D297353CC}">
              <c16:uniqueId val="{00000002-F491-40F8-8DC7-9AFBFC0DD1E8}"/>
            </c:ext>
          </c:extLst>
        </c:ser>
        <c:dLbls>
          <c:showLegendKey val="0"/>
          <c:showVal val="0"/>
          <c:showCatName val="0"/>
          <c:showSerName val="0"/>
          <c:showPercent val="0"/>
          <c:showBubbleSize val="0"/>
        </c:dLbls>
        <c:gapWidth val="219"/>
        <c:overlap val="-27"/>
        <c:axId val="105359519"/>
        <c:axId val="105355679"/>
      </c:barChart>
      <c:catAx>
        <c:axId val="10535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5679"/>
        <c:crosses val="autoZero"/>
        <c:auto val="1"/>
        <c:lblAlgn val="ctr"/>
        <c:lblOffset val="100"/>
        <c:noMultiLvlLbl val="0"/>
      </c:catAx>
      <c:valAx>
        <c:axId val="10535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9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828261</xdr:colOff>
      <xdr:row>23</xdr:row>
      <xdr:rowOff>243508</xdr:rowOff>
    </xdr:from>
    <xdr:to>
      <xdr:col>8</xdr:col>
      <xdr:colOff>389282</xdr:colOff>
      <xdr:row>30</xdr:row>
      <xdr:rowOff>141466</xdr:rowOff>
    </xdr:to>
    <xdr:graphicFrame macro="">
      <xdr:nvGraphicFramePr>
        <xdr:cNvPr id="2" name="Chart 1">
          <a:extLst>
            <a:ext uri="{FF2B5EF4-FFF2-40B4-BE49-F238E27FC236}">
              <a16:creationId xmlns:a16="http://schemas.microsoft.com/office/drawing/2014/main" id="{4F68A99C-254C-6C45-09A5-993B5BB10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C5F0E-DCCA-4F68-B647-5AAB5ACC1AC7}">
  <sheetPr>
    <pageSetUpPr fitToPage="1"/>
  </sheetPr>
  <dimension ref="A1:V24"/>
  <sheetViews>
    <sheetView zoomScale="83" zoomScaleNormal="100" workbookViewId="0">
      <selection activeCell="F3" sqref="F3"/>
    </sheetView>
  </sheetViews>
  <sheetFormatPr defaultRowHeight="13.2" x14ac:dyDescent="0.25"/>
  <cols>
    <col min="2" max="2" width="14.6640625" customWidth="1"/>
    <col min="3" max="3" width="22.5546875" customWidth="1"/>
    <col min="4" max="4" width="15.109375" customWidth="1"/>
    <col min="5" max="5" width="26.5546875" customWidth="1"/>
    <col min="6" max="6" width="47.6640625" customWidth="1"/>
    <col min="7" max="7" width="21" customWidth="1"/>
    <col min="8" max="8" width="79.21875" customWidth="1"/>
    <col min="9" max="9" width="18.44140625" customWidth="1"/>
    <col min="10" max="10" width="16.109375" customWidth="1"/>
    <col min="11" max="11" width="15.44140625" customWidth="1"/>
    <col min="12" max="12" width="14.77734375" customWidth="1"/>
    <col min="13" max="13" width="76.33203125" customWidth="1"/>
    <col min="14" max="14" width="71.109375" customWidth="1"/>
    <col min="15" max="15" width="22.77734375" customWidth="1"/>
    <col min="16" max="16" width="15.77734375" customWidth="1"/>
    <col min="17" max="17" width="45.77734375" customWidth="1"/>
    <col min="18" max="18" width="30.5546875" customWidth="1"/>
    <col min="19" max="19" width="11.77734375" customWidth="1"/>
    <col min="20" max="20" width="17.109375" customWidth="1"/>
    <col min="21" max="21" width="12.109375" customWidth="1"/>
    <col min="22" max="22" width="19.44140625" customWidth="1"/>
  </cols>
  <sheetData>
    <row r="1" spans="1:22" ht="29.4" customHeight="1" x14ac:dyDescent="0.25">
      <c r="A1" s="19" t="s">
        <v>208</v>
      </c>
      <c r="B1" s="19" t="s">
        <v>209</v>
      </c>
      <c r="C1" s="86" t="s">
        <v>210</v>
      </c>
      <c r="D1" s="86"/>
      <c r="E1" s="86"/>
      <c r="F1" s="87" t="s">
        <v>211</v>
      </c>
      <c r="G1" s="87"/>
      <c r="H1" s="91" t="s">
        <v>212</v>
      </c>
      <c r="I1" s="92"/>
      <c r="J1" s="88" t="s">
        <v>213</v>
      </c>
      <c r="K1" s="88"/>
      <c r="L1" s="88"/>
      <c r="M1" s="89" t="s">
        <v>214</v>
      </c>
      <c r="N1" s="89"/>
      <c r="O1" s="89"/>
      <c r="P1" s="89"/>
      <c r="Q1" s="89"/>
      <c r="R1" s="89"/>
      <c r="S1" s="90" t="s">
        <v>215</v>
      </c>
      <c r="T1" s="90"/>
      <c r="U1" s="90"/>
      <c r="V1" s="90"/>
    </row>
    <row r="2" spans="1:22" ht="29.4" customHeight="1" thickBot="1" x14ac:dyDescent="0.3">
      <c r="A2" s="25"/>
      <c r="B2" s="25"/>
      <c r="C2" s="19" t="s">
        <v>222</v>
      </c>
      <c r="D2" s="19" t="s">
        <v>223</v>
      </c>
      <c r="E2" s="19" t="s">
        <v>224</v>
      </c>
      <c r="F2" s="20" t="s">
        <v>225</v>
      </c>
      <c r="G2" s="20" t="s">
        <v>226</v>
      </c>
      <c r="H2" s="22" t="s">
        <v>225</v>
      </c>
      <c r="I2" s="22" t="s">
        <v>226</v>
      </c>
      <c r="J2" s="21" t="s">
        <v>227</v>
      </c>
      <c r="K2" s="21" t="s">
        <v>228</v>
      </c>
      <c r="L2" s="21" t="s">
        <v>221</v>
      </c>
      <c r="M2" s="23" t="s">
        <v>229</v>
      </c>
      <c r="N2" s="23" t="s">
        <v>216</v>
      </c>
      <c r="O2" s="23" t="s">
        <v>217</v>
      </c>
      <c r="P2" s="23" t="s">
        <v>218</v>
      </c>
      <c r="Q2" s="23" t="s">
        <v>219</v>
      </c>
      <c r="R2" s="23" t="s">
        <v>220</v>
      </c>
      <c r="S2" s="24" t="s">
        <v>228</v>
      </c>
      <c r="T2" s="24" t="s">
        <v>227</v>
      </c>
      <c r="U2" s="24" t="s">
        <v>221</v>
      </c>
      <c r="V2" s="24" t="s">
        <v>230</v>
      </c>
    </row>
    <row r="3" spans="1:22" ht="58.8" customHeight="1" thickBot="1" x14ac:dyDescent="0.3">
      <c r="A3" s="26">
        <v>1</v>
      </c>
      <c r="B3" s="27">
        <v>45608</v>
      </c>
      <c r="C3" s="28" t="s">
        <v>264</v>
      </c>
      <c r="D3" s="75" t="s">
        <v>238</v>
      </c>
      <c r="E3" s="75" t="s">
        <v>286</v>
      </c>
      <c r="F3" s="31" t="s">
        <v>295</v>
      </c>
      <c r="G3" s="73" t="s">
        <v>296</v>
      </c>
      <c r="H3" s="32" t="s">
        <v>761</v>
      </c>
      <c r="I3" s="69" t="s">
        <v>238</v>
      </c>
      <c r="J3" s="70" t="s">
        <v>238</v>
      </c>
      <c r="K3" s="70" t="s">
        <v>238</v>
      </c>
      <c r="L3" s="70" t="s">
        <v>297</v>
      </c>
      <c r="M3" s="33" t="s">
        <v>298</v>
      </c>
      <c r="N3" s="33" t="s">
        <v>719</v>
      </c>
      <c r="O3" s="61" t="s">
        <v>299</v>
      </c>
      <c r="P3" s="63">
        <v>45672</v>
      </c>
      <c r="Q3" s="33" t="s">
        <v>300</v>
      </c>
      <c r="R3" s="61" t="s">
        <v>239</v>
      </c>
      <c r="S3" s="57" t="s">
        <v>240</v>
      </c>
      <c r="T3" s="57" t="s">
        <v>241</v>
      </c>
      <c r="U3" s="57" t="s">
        <v>240</v>
      </c>
      <c r="V3" s="59">
        <v>45973</v>
      </c>
    </row>
    <row r="4" spans="1:22" ht="58.8" customHeight="1" thickBot="1" x14ac:dyDescent="0.3">
      <c r="A4" s="26">
        <v>2</v>
      </c>
      <c r="B4" s="29">
        <v>45608</v>
      </c>
      <c r="C4" s="30" t="s">
        <v>265</v>
      </c>
      <c r="D4" s="76" t="s">
        <v>238</v>
      </c>
      <c r="E4" s="76" t="s">
        <v>287</v>
      </c>
      <c r="F4" s="34" t="s">
        <v>301</v>
      </c>
      <c r="G4" s="74" t="s">
        <v>238</v>
      </c>
      <c r="H4" s="35" t="s">
        <v>780</v>
      </c>
      <c r="I4" s="71" t="s">
        <v>238</v>
      </c>
      <c r="J4" s="72" t="s">
        <v>238</v>
      </c>
      <c r="K4" s="72" t="s">
        <v>238</v>
      </c>
      <c r="L4" s="72" t="s">
        <v>297</v>
      </c>
      <c r="M4" s="36" t="s">
        <v>302</v>
      </c>
      <c r="N4" s="36" t="s">
        <v>720</v>
      </c>
      <c r="O4" s="62" t="s">
        <v>287</v>
      </c>
      <c r="P4" s="64">
        <v>45689</v>
      </c>
      <c r="Q4" s="36" t="s">
        <v>303</v>
      </c>
      <c r="R4" s="62" t="s">
        <v>239</v>
      </c>
      <c r="S4" s="58" t="s">
        <v>240</v>
      </c>
      <c r="T4" s="58" t="s">
        <v>240</v>
      </c>
      <c r="U4" s="58" t="s">
        <v>240</v>
      </c>
      <c r="V4" s="60">
        <v>45973</v>
      </c>
    </row>
    <row r="5" spans="1:22" ht="58.8" customHeight="1" thickBot="1" x14ac:dyDescent="0.3">
      <c r="A5" s="26">
        <v>3</v>
      </c>
      <c r="B5" s="29">
        <v>45608</v>
      </c>
      <c r="C5" s="30" t="s">
        <v>266</v>
      </c>
      <c r="D5" s="76" t="s">
        <v>288</v>
      </c>
      <c r="E5" s="76" t="s">
        <v>289</v>
      </c>
      <c r="F5" s="34" t="s">
        <v>304</v>
      </c>
      <c r="G5" s="74" t="s">
        <v>238</v>
      </c>
      <c r="H5" s="35" t="s">
        <v>779</v>
      </c>
      <c r="I5" s="71" t="s">
        <v>238</v>
      </c>
      <c r="J5" s="72" t="s">
        <v>238</v>
      </c>
      <c r="K5" s="72" t="s">
        <v>238</v>
      </c>
      <c r="L5" s="72" t="s">
        <v>297</v>
      </c>
      <c r="M5" s="36" t="s">
        <v>305</v>
      </c>
      <c r="N5" s="36" t="s">
        <v>721</v>
      </c>
      <c r="O5" s="62" t="s">
        <v>306</v>
      </c>
      <c r="P5" s="64">
        <v>45726</v>
      </c>
      <c r="Q5" s="36" t="s">
        <v>307</v>
      </c>
      <c r="R5" s="62" t="s">
        <v>239</v>
      </c>
      <c r="S5" s="58" t="s">
        <v>240</v>
      </c>
      <c r="T5" s="58" t="s">
        <v>241</v>
      </c>
      <c r="U5" s="58" t="s">
        <v>240</v>
      </c>
      <c r="V5" s="60">
        <v>45973</v>
      </c>
    </row>
    <row r="6" spans="1:22" ht="58.8" customHeight="1" thickBot="1" x14ac:dyDescent="0.3">
      <c r="A6" s="26">
        <v>4</v>
      </c>
      <c r="B6" s="29">
        <v>45608</v>
      </c>
      <c r="C6" s="30" t="s">
        <v>267</v>
      </c>
      <c r="D6" s="76" t="s">
        <v>238</v>
      </c>
      <c r="E6" s="76" t="s">
        <v>290</v>
      </c>
      <c r="F6" s="34" t="s">
        <v>308</v>
      </c>
      <c r="G6" s="74" t="s">
        <v>296</v>
      </c>
      <c r="H6" s="35" t="s">
        <v>778</v>
      </c>
      <c r="I6" s="71" t="s">
        <v>296</v>
      </c>
      <c r="J6" s="72" t="s">
        <v>296</v>
      </c>
      <c r="K6" s="72" t="s">
        <v>296</v>
      </c>
      <c r="L6" s="72" t="s">
        <v>238</v>
      </c>
      <c r="M6" s="36" t="s">
        <v>309</v>
      </c>
      <c r="N6" s="36" t="s">
        <v>722</v>
      </c>
      <c r="O6" s="62" t="s">
        <v>741</v>
      </c>
      <c r="P6" s="64">
        <v>45677</v>
      </c>
      <c r="Q6" s="36" t="s">
        <v>310</v>
      </c>
      <c r="R6" s="62" t="s">
        <v>239</v>
      </c>
      <c r="S6" s="58" t="s">
        <v>241</v>
      </c>
      <c r="T6" s="58" t="s">
        <v>241</v>
      </c>
      <c r="U6" s="58" t="s">
        <v>241</v>
      </c>
      <c r="V6" s="60">
        <v>45973</v>
      </c>
    </row>
    <row r="7" spans="1:22" ht="58.8" customHeight="1" thickBot="1" x14ac:dyDescent="0.3">
      <c r="A7" s="26">
        <v>5</v>
      </c>
      <c r="B7" s="29">
        <v>45608</v>
      </c>
      <c r="C7" s="30" t="s">
        <v>268</v>
      </c>
      <c r="D7" s="76" t="s">
        <v>238</v>
      </c>
      <c r="E7" s="76" t="s">
        <v>291</v>
      </c>
      <c r="F7" s="34" t="s">
        <v>744</v>
      </c>
      <c r="G7" s="74" t="s">
        <v>238</v>
      </c>
      <c r="H7" s="35" t="s">
        <v>762</v>
      </c>
      <c r="I7" s="71" t="s">
        <v>238</v>
      </c>
      <c r="J7" s="72" t="s">
        <v>238</v>
      </c>
      <c r="K7" s="72" t="s">
        <v>238</v>
      </c>
      <c r="L7" s="72" t="s">
        <v>297</v>
      </c>
      <c r="M7" s="36" t="s">
        <v>311</v>
      </c>
      <c r="N7" s="36" t="s">
        <v>723</v>
      </c>
      <c r="O7" s="62" t="s">
        <v>312</v>
      </c>
      <c r="P7" s="64">
        <v>45731</v>
      </c>
      <c r="Q7" s="36" t="s">
        <v>313</v>
      </c>
      <c r="R7" s="62" t="s">
        <v>239</v>
      </c>
      <c r="S7" s="58" t="s">
        <v>240</v>
      </c>
      <c r="T7" s="58" t="s">
        <v>240</v>
      </c>
      <c r="U7" s="58" t="s">
        <v>240</v>
      </c>
      <c r="V7" s="60">
        <v>45973</v>
      </c>
    </row>
    <row r="8" spans="1:22" ht="58.8" customHeight="1" thickBot="1" x14ac:dyDescent="0.3">
      <c r="A8" s="26">
        <v>6</v>
      </c>
      <c r="B8" s="29">
        <v>45608</v>
      </c>
      <c r="C8" s="30" t="s">
        <v>269</v>
      </c>
      <c r="D8" s="76" t="s">
        <v>240</v>
      </c>
      <c r="E8" s="76" t="s">
        <v>286</v>
      </c>
      <c r="F8" s="34" t="s">
        <v>746</v>
      </c>
      <c r="G8" s="74" t="s">
        <v>238</v>
      </c>
      <c r="H8" s="35" t="s">
        <v>763</v>
      </c>
      <c r="I8" s="71" t="s">
        <v>238</v>
      </c>
      <c r="J8" s="72" t="s">
        <v>238</v>
      </c>
      <c r="K8" s="72" t="s">
        <v>238</v>
      </c>
      <c r="L8" s="72" t="s">
        <v>297</v>
      </c>
      <c r="M8" s="36" t="s">
        <v>314</v>
      </c>
      <c r="N8" s="36" t="s">
        <v>724</v>
      </c>
      <c r="O8" s="62" t="s">
        <v>299</v>
      </c>
      <c r="P8" s="64">
        <v>45689</v>
      </c>
      <c r="Q8" s="36" t="s">
        <v>315</v>
      </c>
      <c r="R8" s="62" t="s">
        <v>239</v>
      </c>
      <c r="S8" s="58" t="s">
        <v>240</v>
      </c>
      <c r="T8" s="58" t="s">
        <v>241</v>
      </c>
      <c r="U8" s="58" t="s">
        <v>240</v>
      </c>
      <c r="V8" s="60">
        <v>45973</v>
      </c>
    </row>
    <row r="9" spans="1:22" ht="58.8" customHeight="1" thickBot="1" x14ac:dyDescent="0.3">
      <c r="A9" s="26">
        <v>7</v>
      </c>
      <c r="B9" s="29">
        <v>45608</v>
      </c>
      <c r="C9" s="30" t="s">
        <v>270</v>
      </c>
      <c r="D9" s="76" t="s">
        <v>238</v>
      </c>
      <c r="E9" s="76" t="s">
        <v>289</v>
      </c>
      <c r="F9" s="34" t="s">
        <v>745</v>
      </c>
      <c r="G9" s="74" t="s">
        <v>296</v>
      </c>
      <c r="H9" s="35" t="s">
        <v>782</v>
      </c>
      <c r="I9" s="71" t="s">
        <v>296</v>
      </c>
      <c r="J9" s="72" t="s">
        <v>296</v>
      </c>
      <c r="K9" s="72" t="s">
        <v>238</v>
      </c>
      <c r="L9" s="72" t="s">
        <v>238</v>
      </c>
      <c r="M9" s="36" t="s">
        <v>316</v>
      </c>
      <c r="N9" s="36" t="s">
        <v>725</v>
      </c>
      <c r="O9" s="62" t="s">
        <v>317</v>
      </c>
      <c r="P9" s="64">
        <v>45721</v>
      </c>
      <c r="Q9" s="36" t="s">
        <v>318</v>
      </c>
      <c r="R9" s="62" t="s">
        <v>239</v>
      </c>
      <c r="S9" s="58" t="s">
        <v>240</v>
      </c>
      <c r="T9" s="58" t="s">
        <v>241</v>
      </c>
      <c r="U9" s="58" t="s">
        <v>241</v>
      </c>
      <c r="V9" s="60">
        <v>45973</v>
      </c>
    </row>
    <row r="10" spans="1:22" ht="58.8" customHeight="1" thickBot="1" x14ac:dyDescent="0.3">
      <c r="A10" s="26">
        <v>8</v>
      </c>
      <c r="B10" s="29">
        <v>45608</v>
      </c>
      <c r="C10" s="30" t="s">
        <v>271</v>
      </c>
      <c r="D10" s="76" t="s">
        <v>238</v>
      </c>
      <c r="E10" s="76" t="s">
        <v>289</v>
      </c>
      <c r="F10" s="34" t="s">
        <v>319</v>
      </c>
      <c r="G10" s="74" t="s">
        <v>238</v>
      </c>
      <c r="H10" s="35" t="s">
        <v>777</v>
      </c>
      <c r="I10" s="71" t="s">
        <v>238</v>
      </c>
      <c r="J10" s="72" t="s">
        <v>296</v>
      </c>
      <c r="K10" s="72" t="s">
        <v>296</v>
      </c>
      <c r="L10" s="72" t="s">
        <v>238</v>
      </c>
      <c r="M10" s="36" t="s">
        <v>320</v>
      </c>
      <c r="N10" s="36" t="s">
        <v>726</v>
      </c>
      <c r="O10" s="62" t="s">
        <v>317</v>
      </c>
      <c r="P10" s="64">
        <v>45703</v>
      </c>
      <c r="Q10" s="36" t="s">
        <v>321</v>
      </c>
      <c r="R10" s="62" t="s">
        <v>239</v>
      </c>
      <c r="S10" s="58" t="s">
        <v>240</v>
      </c>
      <c r="T10" s="58" t="s">
        <v>241</v>
      </c>
      <c r="U10" s="58" t="s">
        <v>240</v>
      </c>
      <c r="V10" s="60">
        <v>45973</v>
      </c>
    </row>
    <row r="11" spans="1:22" ht="58.8" customHeight="1" thickBot="1" x14ac:dyDescent="0.3">
      <c r="A11" s="26">
        <v>9</v>
      </c>
      <c r="B11" s="29">
        <v>45608</v>
      </c>
      <c r="C11" s="30" t="s">
        <v>272</v>
      </c>
      <c r="D11" s="76" t="s">
        <v>240</v>
      </c>
      <c r="E11" s="76" t="s">
        <v>289</v>
      </c>
      <c r="F11" s="34" t="s">
        <v>322</v>
      </c>
      <c r="G11" s="74" t="s">
        <v>238</v>
      </c>
      <c r="H11" s="35" t="s">
        <v>764</v>
      </c>
      <c r="I11" s="71" t="s">
        <v>238</v>
      </c>
      <c r="J11" s="72" t="s">
        <v>238</v>
      </c>
      <c r="K11" s="72" t="s">
        <v>238</v>
      </c>
      <c r="L11" s="72" t="s">
        <v>297</v>
      </c>
      <c r="M11" s="36" t="s">
        <v>323</v>
      </c>
      <c r="N11" s="36" t="s">
        <v>727</v>
      </c>
      <c r="O11" s="62" t="s">
        <v>324</v>
      </c>
      <c r="P11" s="64">
        <v>45757</v>
      </c>
      <c r="Q11" s="36" t="s">
        <v>325</v>
      </c>
      <c r="R11" s="62" t="s">
        <v>239</v>
      </c>
      <c r="S11" s="58" t="s">
        <v>240</v>
      </c>
      <c r="T11" s="58" t="s">
        <v>241</v>
      </c>
      <c r="U11" s="58" t="s">
        <v>240</v>
      </c>
      <c r="V11" s="60">
        <v>45973</v>
      </c>
    </row>
    <row r="12" spans="1:22" ht="58.8" customHeight="1" thickBot="1" x14ac:dyDescent="0.3">
      <c r="A12" s="26">
        <v>10</v>
      </c>
      <c r="B12" s="29">
        <v>45608</v>
      </c>
      <c r="C12" s="30" t="s">
        <v>273</v>
      </c>
      <c r="D12" s="76" t="s">
        <v>288</v>
      </c>
      <c r="E12" s="76" t="s">
        <v>290</v>
      </c>
      <c r="F12" s="34" t="s">
        <v>326</v>
      </c>
      <c r="G12" s="74" t="s">
        <v>238</v>
      </c>
      <c r="H12" s="35" t="s">
        <v>776</v>
      </c>
      <c r="I12" s="71" t="s">
        <v>238</v>
      </c>
      <c r="J12" s="72" t="s">
        <v>238</v>
      </c>
      <c r="K12" s="72" t="s">
        <v>238</v>
      </c>
      <c r="L12" s="72" t="s">
        <v>297</v>
      </c>
      <c r="M12" s="36" t="s">
        <v>327</v>
      </c>
      <c r="N12" s="36" t="s">
        <v>728</v>
      </c>
      <c r="O12" s="62" t="s">
        <v>306</v>
      </c>
      <c r="P12" s="64">
        <v>45731</v>
      </c>
      <c r="Q12" s="36" t="s">
        <v>328</v>
      </c>
      <c r="R12" s="62" t="s">
        <v>239</v>
      </c>
      <c r="S12" s="58" t="s">
        <v>240</v>
      </c>
      <c r="T12" s="58" t="s">
        <v>241</v>
      </c>
      <c r="U12" s="58" t="s">
        <v>240</v>
      </c>
      <c r="V12" s="60">
        <v>45973</v>
      </c>
    </row>
    <row r="13" spans="1:22" ht="58.8" customHeight="1" thickBot="1" x14ac:dyDescent="0.3">
      <c r="A13" s="26">
        <v>11</v>
      </c>
      <c r="B13" s="29">
        <v>45608</v>
      </c>
      <c r="C13" s="30" t="s">
        <v>274</v>
      </c>
      <c r="D13" s="76" t="s">
        <v>238</v>
      </c>
      <c r="E13" s="76" t="s">
        <v>289</v>
      </c>
      <c r="F13" s="34" t="s">
        <v>329</v>
      </c>
      <c r="G13" s="74" t="s">
        <v>238</v>
      </c>
      <c r="H13" s="35" t="s">
        <v>781</v>
      </c>
      <c r="I13" s="71" t="s">
        <v>238</v>
      </c>
      <c r="J13" s="72" t="s">
        <v>296</v>
      </c>
      <c r="K13" s="72" t="s">
        <v>238</v>
      </c>
      <c r="L13" s="72" t="s">
        <v>238</v>
      </c>
      <c r="M13" s="36" t="s">
        <v>330</v>
      </c>
      <c r="N13" s="36" t="s">
        <v>729</v>
      </c>
      <c r="O13" s="62" t="s">
        <v>742</v>
      </c>
      <c r="P13" s="64">
        <v>45767</v>
      </c>
      <c r="Q13" s="36" t="s">
        <v>331</v>
      </c>
      <c r="R13" s="62" t="s">
        <v>239</v>
      </c>
      <c r="S13" s="58" t="s">
        <v>240</v>
      </c>
      <c r="T13" s="58" t="s">
        <v>241</v>
      </c>
      <c r="U13" s="58" t="s">
        <v>241</v>
      </c>
      <c r="V13" s="60">
        <v>45973</v>
      </c>
    </row>
    <row r="14" spans="1:22" ht="58.8" customHeight="1" thickBot="1" x14ac:dyDescent="0.3">
      <c r="A14" s="26">
        <v>12</v>
      </c>
      <c r="B14" s="29">
        <v>45608</v>
      </c>
      <c r="C14" s="30" t="s">
        <v>275</v>
      </c>
      <c r="D14" s="76" t="s">
        <v>240</v>
      </c>
      <c r="E14" s="76" t="s">
        <v>289</v>
      </c>
      <c r="F14" s="34" t="s">
        <v>332</v>
      </c>
      <c r="G14" s="74" t="s">
        <v>296</v>
      </c>
      <c r="H14" s="35" t="s">
        <v>765</v>
      </c>
      <c r="I14" s="71" t="s">
        <v>296</v>
      </c>
      <c r="J14" s="72" t="s">
        <v>296</v>
      </c>
      <c r="K14" s="72" t="s">
        <v>296</v>
      </c>
      <c r="L14" s="72" t="s">
        <v>296</v>
      </c>
      <c r="M14" s="36" t="s">
        <v>333</v>
      </c>
      <c r="N14" s="36" t="s">
        <v>731</v>
      </c>
      <c r="O14" s="62" t="s">
        <v>497</v>
      </c>
      <c r="P14" s="64">
        <v>45726</v>
      </c>
      <c r="Q14" s="36" t="s">
        <v>331</v>
      </c>
      <c r="R14" s="62" t="s">
        <v>239</v>
      </c>
      <c r="S14" s="58" t="s">
        <v>241</v>
      </c>
      <c r="T14" s="58" t="s">
        <v>241</v>
      </c>
      <c r="U14" s="58" t="s">
        <v>241</v>
      </c>
      <c r="V14" s="60">
        <v>45973</v>
      </c>
    </row>
    <row r="15" spans="1:22" ht="58.8" customHeight="1" thickBot="1" x14ac:dyDescent="0.3">
      <c r="A15" s="26">
        <v>13</v>
      </c>
      <c r="B15" s="29">
        <v>45608</v>
      </c>
      <c r="C15" s="30" t="s">
        <v>276</v>
      </c>
      <c r="D15" s="76" t="s">
        <v>238</v>
      </c>
      <c r="E15" s="76" t="s">
        <v>289</v>
      </c>
      <c r="F15" s="34" t="s">
        <v>334</v>
      </c>
      <c r="G15" s="74" t="s">
        <v>238</v>
      </c>
      <c r="H15" s="35" t="s">
        <v>775</v>
      </c>
      <c r="I15" s="71" t="s">
        <v>238</v>
      </c>
      <c r="J15" s="72" t="s">
        <v>296</v>
      </c>
      <c r="K15" s="72" t="s">
        <v>238</v>
      </c>
      <c r="L15" s="72" t="s">
        <v>238</v>
      </c>
      <c r="M15" s="36" t="s">
        <v>335</v>
      </c>
      <c r="N15" s="36" t="s">
        <v>730</v>
      </c>
      <c r="O15" s="62" t="s">
        <v>317</v>
      </c>
      <c r="P15" s="64">
        <v>45777</v>
      </c>
      <c r="Q15" s="36" t="s">
        <v>321</v>
      </c>
      <c r="R15" s="62" t="s">
        <v>239</v>
      </c>
      <c r="S15" s="58" t="s">
        <v>240</v>
      </c>
      <c r="T15" s="58" t="s">
        <v>241</v>
      </c>
      <c r="U15" s="58" t="s">
        <v>241</v>
      </c>
      <c r="V15" s="60">
        <v>45973</v>
      </c>
    </row>
    <row r="16" spans="1:22" ht="58.8" customHeight="1" thickBot="1" x14ac:dyDescent="0.3">
      <c r="A16" s="26">
        <v>14</v>
      </c>
      <c r="B16" s="29">
        <v>45608</v>
      </c>
      <c r="C16" s="30" t="s">
        <v>277</v>
      </c>
      <c r="D16" s="76" t="s">
        <v>238</v>
      </c>
      <c r="E16" s="76" t="s">
        <v>292</v>
      </c>
      <c r="F16" s="34" t="s">
        <v>336</v>
      </c>
      <c r="G16" s="74" t="s">
        <v>238</v>
      </c>
      <c r="H16" s="35" t="s">
        <v>774</v>
      </c>
      <c r="I16" s="71" t="s">
        <v>238</v>
      </c>
      <c r="J16" s="72" t="s">
        <v>238</v>
      </c>
      <c r="K16" s="72" t="s">
        <v>238</v>
      </c>
      <c r="L16" s="72" t="s">
        <v>297</v>
      </c>
      <c r="M16" s="36" t="s">
        <v>337</v>
      </c>
      <c r="N16" s="36" t="s">
        <v>732</v>
      </c>
      <c r="O16" s="62" t="s">
        <v>517</v>
      </c>
      <c r="P16" s="64">
        <v>45716</v>
      </c>
      <c r="Q16" s="36" t="s">
        <v>338</v>
      </c>
      <c r="R16" s="62" t="s">
        <v>239</v>
      </c>
      <c r="S16" s="58" t="s">
        <v>240</v>
      </c>
      <c r="T16" s="58" t="s">
        <v>241</v>
      </c>
      <c r="U16" s="58" t="s">
        <v>240</v>
      </c>
      <c r="V16" s="60">
        <v>45973</v>
      </c>
    </row>
    <row r="17" spans="1:22" ht="58.8" customHeight="1" thickBot="1" x14ac:dyDescent="0.3">
      <c r="A17" s="26">
        <v>15</v>
      </c>
      <c r="B17" s="29">
        <v>45608</v>
      </c>
      <c r="C17" s="30" t="s">
        <v>278</v>
      </c>
      <c r="D17" s="76" t="s">
        <v>288</v>
      </c>
      <c r="E17" s="76" t="s">
        <v>289</v>
      </c>
      <c r="F17" s="34" t="s">
        <v>339</v>
      </c>
      <c r="G17" s="74" t="s">
        <v>238</v>
      </c>
      <c r="H17" s="35" t="s">
        <v>766</v>
      </c>
      <c r="I17" s="71" t="s">
        <v>238</v>
      </c>
      <c r="J17" s="72" t="s">
        <v>296</v>
      </c>
      <c r="K17" s="72" t="s">
        <v>238</v>
      </c>
      <c r="L17" s="72" t="s">
        <v>238</v>
      </c>
      <c r="M17" s="36" t="s">
        <v>340</v>
      </c>
      <c r="N17" s="36" t="s">
        <v>733</v>
      </c>
      <c r="O17" s="62" t="s">
        <v>497</v>
      </c>
      <c r="P17" s="64">
        <v>45787</v>
      </c>
      <c r="Q17" s="36" t="s">
        <v>338</v>
      </c>
      <c r="R17" s="62" t="s">
        <v>239</v>
      </c>
      <c r="S17" s="58" t="s">
        <v>240</v>
      </c>
      <c r="T17" s="58" t="s">
        <v>241</v>
      </c>
      <c r="U17" s="58" t="s">
        <v>240</v>
      </c>
      <c r="V17" s="60">
        <v>45973</v>
      </c>
    </row>
    <row r="18" spans="1:22" ht="58.8" customHeight="1" thickBot="1" x14ac:dyDescent="0.3">
      <c r="A18" s="26">
        <v>16</v>
      </c>
      <c r="B18" s="29">
        <v>45608</v>
      </c>
      <c r="C18" s="30" t="s">
        <v>279</v>
      </c>
      <c r="D18" s="76" t="s">
        <v>240</v>
      </c>
      <c r="E18" s="76" t="s">
        <v>292</v>
      </c>
      <c r="F18" s="34" t="s">
        <v>341</v>
      </c>
      <c r="G18" s="74" t="s">
        <v>238</v>
      </c>
      <c r="H18" s="35" t="s">
        <v>773</v>
      </c>
      <c r="I18" s="71" t="s">
        <v>238</v>
      </c>
      <c r="J18" s="72" t="s">
        <v>238</v>
      </c>
      <c r="K18" s="72" t="s">
        <v>296</v>
      </c>
      <c r="L18" s="72" t="s">
        <v>238</v>
      </c>
      <c r="M18" s="36" t="s">
        <v>342</v>
      </c>
      <c r="N18" s="36" t="s">
        <v>734</v>
      </c>
      <c r="O18" s="62" t="s">
        <v>517</v>
      </c>
      <c r="P18" s="64">
        <v>45731</v>
      </c>
      <c r="Q18" s="36" t="s">
        <v>338</v>
      </c>
      <c r="R18" s="62" t="s">
        <v>239</v>
      </c>
      <c r="S18" s="58" t="s">
        <v>240</v>
      </c>
      <c r="T18" s="58" t="s">
        <v>241</v>
      </c>
      <c r="U18" s="58" t="s">
        <v>240</v>
      </c>
      <c r="V18" s="60">
        <v>45973</v>
      </c>
    </row>
    <row r="19" spans="1:22" ht="58.8" customHeight="1" thickBot="1" x14ac:dyDescent="0.3">
      <c r="A19" s="26">
        <v>17</v>
      </c>
      <c r="B19" s="29">
        <v>45608</v>
      </c>
      <c r="C19" s="30" t="s">
        <v>280</v>
      </c>
      <c r="D19" s="76" t="s">
        <v>238</v>
      </c>
      <c r="E19" s="76" t="s">
        <v>289</v>
      </c>
      <c r="F19" s="34" t="s">
        <v>343</v>
      </c>
      <c r="G19" s="74" t="s">
        <v>238</v>
      </c>
      <c r="H19" s="35" t="s">
        <v>772</v>
      </c>
      <c r="I19" s="71" t="s">
        <v>238</v>
      </c>
      <c r="J19" s="72" t="s">
        <v>296</v>
      </c>
      <c r="K19" s="72" t="s">
        <v>238</v>
      </c>
      <c r="L19" s="72" t="s">
        <v>238</v>
      </c>
      <c r="M19" s="36" t="s">
        <v>344</v>
      </c>
      <c r="N19" s="36" t="s">
        <v>735</v>
      </c>
      <c r="O19" s="62" t="s">
        <v>317</v>
      </c>
      <c r="P19" s="64">
        <v>45703</v>
      </c>
      <c r="Q19" s="36" t="s">
        <v>321</v>
      </c>
      <c r="R19" s="62" t="s">
        <v>239</v>
      </c>
      <c r="S19" s="58" t="s">
        <v>240</v>
      </c>
      <c r="T19" s="58" t="s">
        <v>241</v>
      </c>
      <c r="U19" s="58" t="s">
        <v>241</v>
      </c>
      <c r="V19" s="60">
        <v>45973</v>
      </c>
    </row>
    <row r="20" spans="1:22" ht="58.8" customHeight="1" thickBot="1" x14ac:dyDescent="0.3">
      <c r="A20" s="26">
        <v>18</v>
      </c>
      <c r="B20" s="29">
        <v>45608</v>
      </c>
      <c r="C20" s="30" t="s">
        <v>281</v>
      </c>
      <c r="D20" s="76" t="s">
        <v>240</v>
      </c>
      <c r="E20" s="76" t="s">
        <v>289</v>
      </c>
      <c r="F20" s="34" t="s">
        <v>345</v>
      </c>
      <c r="G20" s="74" t="s">
        <v>296</v>
      </c>
      <c r="H20" s="35" t="s">
        <v>771</v>
      </c>
      <c r="I20" s="71" t="s">
        <v>296</v>
      </c>
      <c r="J20" s="72" t="s">
        <v>296</v>
      </c>
      <c r="K20" s="72" t="s">
        <v>296</v>
      </c>
      <c r="L20" s="72" t="s">
        <v>296</v>
      </c>
      <c r="M20" s="36" t="s">
        <v>346</v>
      </c>
      <c r="N20" s="36" t="s">
        <v>736</v>
      </c>
      <c r="O20" s="62" t="s">
        <v>497</v>
      </c>
      <c r="P20" s="64">
        <v>45767</v>
      </c>
      <c r="Q20" s="36" t="s">
        <v>347</v>
      </c>
      <c r="R20" s="62" t="s">
        <v>239</v>
      </c>
      <c r="S20" s="58" t="s">
        <v>241</v>
      </c>
      <c r="T20" s="58" t="s">
        <v>241</v>
      </c>
      <c r="U20" s="58" t="s">
        <v>241</v>
      </c>
      <c r="V20" s="60">
        <v>45973</v>
      </c>
    </row>
    <row r="21" spans="1:22" ht="58.8" customHeight="1" thickBot="1" x14ac:dyDescent="0.3">
      <c r="A21" s="26">
        <v>19</v>
      </c>
      <c r="B21" s="29">
        <v>45608</v>
      </c>
      <c r="C21" s="30" t="s">
        <v>282</v>
      </c>
      <c r="D21" s="76" t="s">
        <v>238</v>
      </c>
      <c r="E21" s="76" t="s">
        <v>293</v>
      </c>
      <c r="F21" s="34" t="s">
        <v>348</v>
      </c>
      <c r="G21" s="74" t="s">
        <v>238</v>
      </c>
      <c r="H21" s="35" t="s">
        <v>767</v>
      </c>
      <c r="I21" s="71" t="s">
        <v>238</v>
      </c>
      <c r="J21" s="72" t="s">
        <v>296</v>
      </c>
      <c r="K21" s="72" t="s">
        <v>238</v>
      </c>
      <c r="L21" s="72" t="s">
        <v>238</v>
      </c>
      <c r="M21" s="36" t="s">
        <v>349</v>
      </c>
      <c r="N21" s="36" t="s">
        <v>737</v>
      </c>
      <c r="O21" s="62" t="s">
        <v>306</v>
      </c>
      <c r="P21" s="64">
        <v>45809</v>
      </c>
      <c r="Q21" s="36" t="s">
        <v>350</v>
      </c>
      <c r="R21" s="62" t="s">
        <v>239</v>
      </c>
      <c r="S21" s="58" t="s">
        <v>240</v>
      </c>
      <c r="T21" s="58" t="s">
        <v>241</v>
      </c>
      <c r="U21" s="58" t="s">
        <v>241</v>
      </c>
      <c r="V21" s="60">
        <v>45973</v>
      </c>
    </row>
    <row r="22" spans="1:22" ht="58.8" customHeight="1" thickBot="1" x14ac:dyDescent="0.3">
      <c r="A22" s="26">
        <v>20</v>
      </c>
      <c r="B22" s="29">
        <v>45608</v>
      </c>
      <c r="C22" s="30" t="s">
        <v>283</v>
      </c>
      <c r="D22" s="76" t="s">
        <v>240</v>
      </c>
      <c r="E22" s="76" t="s">
        <v>289</v>
      </c>
      <c r="F22" s="34" t="s">
        <v>351</v>
      </c>
      <c r="G22" s="74" t="s">
        <v>296</v>
      </c>
      <c r="H22" s="35" t="s">
        <v>770</v>
      </c>
      <c r="I22" s="71" t="s">
        <v>296</v>
      </c>
      <c r="J22" s="72" t="s">
        <v>296</v>
      </c>
      <c r="K22" s="72" t="s">
        <v>296</v>
      </c>
      <c r="L22" s="72" t="s">
        <v>296</v>
      </c>
      <c r="M22" s="36" t="s">
        <v>352</v>
      </c>
      <c r="N22" s="36" t="s">
        <v>738</v>
      </c>
      <c r="O22" s="62" t="s">
        <v>317</v>
      </c>
      <c r="P22" s="64">
        <v>45726</v>
      </c>
      <c r="Q22" s="36" t="s">
        <v>321</v>
      </c>
      <c r="R22" s="62" t="s">
        <v>239</v>
      </c>
      <c r="S22" s="58" t="s">
        <v>241</v>
      </c>
      <c r="T22" s="58" t="s">
        <v>241</v>
      </c>
      <c r="U22" s="58" t="s">
        <v>241</v>
      </c>
      <c r="V22" s="60">
        <v>45973</v>
      </c>
    </row>
    <row r="23" spans="1:22" ht="58.8" customHeight="1" thickBot="1" x14ac:dyDescent="0.3">
      <c r="A23" s="26">
        <v>21</v>
      </c>
      <c r="B23" s="29">
        <v>45608</v>
      </c>
      <c r="C23" s="30" t="s">
        <v>284</v>
      </c>
      <c r="D23" s="76" t="s">
        <v>238</v>
      </c>
      <c r="E23" s="76" t="s">
        <v>294</v>
      </c>
      <c r="F23" s="34" t="s">
        <v>353</v>
      </c>
      <c r="G23" s="74" t="s">
        <v>238</v>
      </c>
      <c r="H23" s="35" t="s">
        <v>769</v>
      </c>
      <c r="I23" s="71" t="s">
        <v>238</v>
      </c>
      <c r="J23" s="72" t="s">
        <v>296</v>
      </c>
      <c r="K23" s="72" t="s">
        <v>238</v>
      </c>
      <c r="L23" s="72" t="s">
        <v>238</v>
      </c>
      <c r="M23" s="36" t="s">
        <v>354</v>
      </c>
      <c r="N23" s="36" t="s">
        <v>739</v>
      </c>
      <c r="O23" s="62" t="s">
        <v>743</v>
      </c>
      <c r="P23" s="64">
        <v>45792</v>
      </c>
      <c r="Q23" s="36" t="s">
        <v>355</v>
      </c>
      <c r="R23" s="62" t="s">
        <v>242</v>
      </c>
      <c r="S23" s="58" t="s">
        <v>240</v>
      </c>
      <c r="T23" s="58" t="s">
        <v>241</v>
      </c>
      <c r="U23" s="58" t="s">
        <v>240</v>
      </c>
      <c r="V23" s="60">
        <v>45973</v>
      </c>
    </row>
    <row r="24" spans="1:22" ht="58.8" customHeight="1" thickBot="1" x14ac:dyDescent="0.3">
      <c r="A24" s="26">
        <v>22</v>
      </c>
      <c r="B24" s="29">
        <v>45608</v>
      </c>
      <c r="C24" s="30" t="s">
        <v>285</v>
      </c>
      <c r="D24" s="76" t="s">
        <v>238</v>
      </c>
      <c r="E24" s="76" t="s">
        <v>293</v>
      </c>
      <c r="F24" s="34" t="s">
        <v>356</v>
      </c>
      <c r="G24" s="74" t="s">
        <v>238</v>
      </c>
      <c r="H24" s="35" t="s">
        <v>768</v>
      </c>
      <c r="I24" s="71" t="s">
        <v>238</v>
      </c>
      <c r="J24" s="72" t="s">
        <v>296</v>
      </c>
      <c r="K24" s="72" t="s">
        <v>238</v>
      </c>
      <c r="L24" s="72" t="s">
        <v>238</v>
      </c>
      <c r="M24" s="36" t="s">
        <v>357</v>
      </c>
      <c r="N24" s="36" t="s">
        <v>740</v>
      </c>
      <c r="O24" s="62" t="s">
        <v>306</v>
      </c>
      <c r="P24" s="64">
        <v>45823</v>
      </c>
      <c r="Q24" s="36" t="s">
        <v>350</v>
      </c>
      <c r="R24" s="62" t="s">
        <v>239</v>
      </c>
      <c r="S24" s="58" t="s">
        <v>240</v>
      </c>
      <c r="T24" s="58" t="s">
        <v>241</v>
      </c>
      <c r="U24" s="58" t="s">
        <v>240</v>
      </c>
      <c r="V24" s="60">
        <v>45973</v>
      </c>
    </row>
  </sheetData>
  <mergeCells count="6">
    <mergeCell ref="C1:E1"/>
    <mergeCell ref="F1:G1"/>
    <mergeCell ref="J1:L1"/>
    <mergeCell ref="M1:R1"/>
    <mergeCell ref="S1:V1"/>
    <mergeCell ref="H1:I1"/>
  </mergeCells>
  <pageMargins left="0.25" right="0.25" top="0.75" bottom="0.75" header="0.3" footer="0.3"/>
  <pageSetup paperSize="9" scale="22"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Q110"/>
  <sheetViews>
    <sheetView tabSelected="1" zoomScale="92" zoomScaleNormal="100" workbookViewId="0">
      <pane xSplit="1" ySplit="2" topLeftCell="B5" activePane="bottomRight" state="frozen"/>
      <selection pane="topRight" activeCell="B1" sqref="B1"/>
      <selection pane="bottomLeft" activeCell="A3" sqref="A3"/>
      <selection pane="bottomRight" activeCell="J24" sqref="J24"/>
    </sheetView>
  </sheetViews>
  <sheetFormatPr defaultColWidth="11.5546875" defaultRowHeight="13.8" x14ac:dyDescent="0.25"/>
  <cols>
    <col min="1" max="1" width="1.5546875" style="3" customWidth="1"/>
    <col min="2" max="2" width="8.5546875" style="3" customWidth="1"/>
    <col min="3" max="3" width="65.21875" style="16" customWidth="1"/>
    <col min="4" max="4" width="14.77734375" style="8" customWidth="1"/>
    <col min="5" max="5" width="71" style="8" customWidth="1"/>
    <col min="6" max="6" width="30.21875" style="7" customWidth="1"/>
    <col min="7" max="7" width="23.109375" style="7" customWidth="1"/>
    <col min="8" max="8" width="24.5546875" style="7" customWidth="1"/>
    <col min="9" max="9" width="21.77734375" style="7" customWidth="1"/>
    <col min="10" max="10" width="24.6640625" style="7" customWidth="1"/>
    <col min="11" max="11" width="24.44140625" style="7" customWidth="1"/>
    <col min="12" max="251" width="30.21875" style="7" customWidth="1"/>
    <col min="252" max="16384" width="11.5546875" style="4"/>
  </cols>
  <sheetData>
    <row r="1" spans="1:11" s="1" customFormat="1" ht="32.25" customHeight="1" x14ac:dyDescent="0.25">
      <c r="A1" s="13"/>
      <c r="B1" s="95" t="s">
        <v>38</v>
      </c>
      <c r="C1" s="96"/>
      <c r="D1" s="96"/>
      <c r="E1" s="96"/>
    </row>
    <row r="2" spans="1:11" s="10" customFormat="1" ht="21.75" customHeight="1" x14ac:dyDescent="0.3">
      <c r="B2" s="41" t="s">
        <v>4</v>
      </c>
      <c r="C2" s="42" t="s">
        <v>25</v>
      </c>
      <c r="D2" s="49" t="s">
        <v>0</v>
      </c>
      <c r="E2" s="49" t="s">
        <v>207</v>
      </c>
    </row>
    <row r="3" spans="1:11" s="9" customFormat="1" ht="32.1" customHeight="1" x14ac:dyDescent="0.45">
      <c r="B3" s="50" t="s">
        <v>7</v>
      </c>
      <c r="C3" s="93" t="s">
        <v>51</v>
      </c>
      <c r="D3" s="93"/>
      <c r="E3" s="93"/>
    </row>
    <row r="4" spans="1:11" s="11" customFormat="1" ht="33.6" customHeight="1" x14ac:dyDescent="0.25">
      <c r="B4" s="51" t="s">
        <v>55</v>
      </c>
      <c r="C4" s="52" t="s">
        <v>9</v>
      </c>
      <c r="D4" s="83" t="s">
        <v>204</v>
      </c>
      <c r="E4" s="55" t="s">
        <v>760</v>
      </c>
      <c r="G4" s="66" t="s">
        <v>0</v>
      </c>
      <c r="H4" s="94" t="s">
        <v>1</v>
      </c>
      <c r="I4" s="94"/>
    </row>
    <row r="5" spans="1:11" s="11" customFormat="1" ht="40.799999999999997" customHeight="1" x14ac:dyDescent="0.25">
      <c r="B5" s="51" t="s">
        <v>56</v>
      </c>
      <c r="C5" s="52" t="s">
        <v>10</v>
      </c>
      <c r="D5" s="83" t="s">
        <v>204</v>
      </c>
      <c r="E5" s="54" t="s">
        <v>750</v>
      </c>
      <c r="G5" s="78" t="s">
        <v>6</v>
      </c>
      <c r="H5" s="97" t="s">
        <v>203</v>
      </c>
      <c r="I5" s="97"/>
    </row>
    <row r="6" spans="1:11" s="11" customFormat="1" ht="41.4" customHeight="1" x14ac:dyDescent="0.25">
      <c r="B6" s="51" t="s">
        <v>57</v>
      </c>
      <c r="C6" s="52" t="s">
        <v>11</v>
      </c>
      <c r="D6" s="53" t="s">
        <v>2</v>
      </c>
      <c r="E6" s="55" t="s">
        <v>644</v>
      </c>
      <c r="G6" s="79" t="s">
        <v>2</v>
      </c>
      <c r="H6" s="97" t="s">
        <v>716</v>
      </c>
      <c r="I6" s="97"/>
    </row>
    <row r="7" spans="1:11" s="11" customFormat="1" ht="50.4" customHeight="1" x14ac:dyDescent="0.25">
      <c r="B7" s="51" t="s">
        <v>58</v>
      </c>
      <c r="C7" s="52" t="s">
        <v>17</v>
      </c>
      <c r="D7" s="83" t="s">
        <v>204</v>
      </c>
      <c r="E7" s="54" t="s">
        <v>751</v>
      </c>
      <c r="G7" s="82" t="s">
        <v>204</v>
      </c>
      <c r="H7" s="97" t="s">
        <v>205</v>
      </c>
      <c r="I7" s="97"/>
    </row>
    <row r="8" spans="1:11" s="11" customFormat="1" ht="43.8" customHeight="1" x14ac:dyDescent="0.25">
      <c r="B8" s="51" t="s">
        <v>59</v>
      </c>
      <c r="C8" s="52" t="s">
        <v>12</v>
      </c>
      <c r="D8" s="53" t="s">
        <v>2</v>
      </c>
      <c r="E8" s="55" t="s">
        <v>645</v>
      </c>
      <c r="G8" s="80" t="s">
        <v>206</v>
      </c>
      <c r="H8" s="97" t="s">
        <v>5</v>
      </c>
      <c r="I8" s="97"/>
    </row>
    <row r="9" spans="1:11" s="11" customFormat="1" ht="43.8" customHeight="1" x14ac:dyDescent="0.25">
      <c r="B9" s="51" t="s">
        <v>60</v>
      </c>
      <c r="C9" s="52" t="s">
        <v>13</v>
      </c>
      <c r="D9" s="53" t="s">
        <v>2</v>
      </c>
      <c r="E9" s="55" t="s">
        <v>646</v>
      </c>
      <c r="G9" s="81" t="s">
        <v>3</v>
      </c>
      <c r="H9" s="97" t="s">
        <v>717</v>
      </c>
      <c r="I9" s="97"/>
    </row>
    <row r="10" spans="1:11" s="11" customFormat="1" ht="33.6" customHeight="1" x14ac:dyDescent="0.25">
      <c r="B10" s="51" t="s">
        <v>61</v>
      </c>
      <c r="C10" s="52" t="s">
        <v>62</v>
      </c>
      <c r="D10" s="83" t="s">
        <v>204</v>
      </c>
      <c r="E10" s="54" t="s">
        <v>649</v>
      </c>
    </row>
    <row r="11" spans="1:11" s="11" customFormat="1" ht="33.6" customHeight="1" x14ac:dyDescent="0.25">
      <c r="B11" s="51" t="s">
        <v>63</v>
      </c>
      <c r="C11" s="52" t="s">
        <v>64</v>
      </c>
      <c r="D11" s="84" t="s">
        <v>2</v>
      </c>
      <c r="E11" s="54" t="s">
        <v>650</v>
      </c>
    </row>
    <row r="12" spans="1:11" s="11" customFormat="1" ht="33.6" customHeight="1" x14ac:dyDescent="0.25">
      <c r="B12" s="51" t="s">
        <v>65</v>
      </c>
      <c r="C12" s="52" t="s">
        <v>66</v>
      </c>
      <c r="D12" s="84" t="s">
        <v>2</v>
      </c>
      <c r="E12" s="54" t="s">
        <v>651</v>
      </c>
      <c r="G12" s="65" t="s">
        <v>231</v>
      </c>
      <c r="H12" s="65" t="s">
        <v>718</v>
      </c>
      <c r="I12" s="65" t="s">
        <v>206</v>
      </c>
      <c r="J12" s="65" t="s">
        <v>232</v>
      </c>
      <c r="K12" s="65" t="s">
        <v>643</v>
      </c>
    </row>
    <row r="13" spans="1:11" s="11" customFormat="1" ht="33.6" customHeight="1" x14ac:dyDescent="0.25">
      <c r="B13" s="51" t="s">
        <v>67</v>
      </c>
      <c r="C13" s="52" t="s">
        <v>68</v>
      </c>
      <c r="D13" s="83" t="s">
        <v>204</v>
      </c>
      <c r="E13" s="55" t="s">
        <v>647</v>
      </c>
      <c r="G13" s="67" t="s">
        <v>233</v>
      </c>
      <c r="H13" s="68">
        <v>37</v>
      </c>
      <c r="I13" s="68">
        <v>1</v>
      </c>
      <c r="J13" s="68">
        <v>19</v>
      </c>
      <c r="K13" s="68">
        <v>17</v>
      </c>
    </row>
    <row r="14" spans="1:11" s="11" customFormat="1" ht="33.6" customHeight="1" x14ac:dyDescent="0.25">
      <c r="B14" s="51" t="s">
        <v>69</v>
      </c>
      <c r="C14" s="52" t="s">
        <v>21</v>
      </c>
      <c r="D14" s="84" t="s">
        <v>2</v>
      </c>
      <c r="E14" s="55" t="s">
        <v>648</v>
      </c>
      <c r="G14" s="67" t="s">
        <v>234</v>
      </c>
      <c r="H14" s="68">
        <v>8</v>
      </c>
      <c r="I14" s="68">
        <v>1</v>
      </c>
      <c r="J14" s="68">
        <v>5</v>
      </c>
      <c r="K14" s="68">
        <v>2</v>
      </c>
    </row>
    <row r="15" spans="1:11" s="11" customFormat="1" ht="33.6" customHeight="1" x14ac:dyDescent="0.25">
      <c r="B15" s="51" t="s">
        <v>70</v>
      </c>
      <c r="C15" s="52" t="s">
        <v>22</v>
      </c>
      <c r="D15" s="84" t="s">
        <v>2</v>
      </c>
      <c r="E15" s="54" t="s">
        <v>652</v>
      </c>
      <c r="G15" s="67" t="s">
        <v>235</v>
      </c>
      <c r="H15" s="68">
        <v>14</v>
      </c>
      <c r="I15" s="68">
        <v>1</v>
      </c>
      <c r="J15" s="68">
        <v>6</v>
      </c>
      <c r="K15" s="68">
        <v>7</v>
      </c>
    </row>
    <row r="16" spans="1:11" s="11" customFormat="1" ht="33.6" customHeight="1" x14ac:dyDescent="0.25">
      <c r="B16" s="51" t="s">
        <v>71</v>
      </c>
      <c r="C16" s="52" t="s">
        <v>23</v>
      </c>
      <c r="D16" s="84" t="s">
        <v>2</v>
      </c>
      <c r="E16" s="45" t="s">
        <v>243</v>
      </c>
      <c r="G16" s="67" t="s">
        <v>236</v>
      </c>
      <c r="H16" s="68">
        <v>34</v>
      </c>
      <c r="I16" s="68">
        <v>1</v>
      </c>
      <c r="J16" s="68">
        <v>16</v>
      </c>
      <c r="K16" s="68">
        <v>17</v>
      </c>
    </row>
    <row r="17" spans="2:11" s="11" customFormat="1" ht="33.6" customHeight="1" x14ac:dyDescent="0.25">
      <c r="B17" s="51" t="s">
        <v>72</v>
      </c>
      <c r="C17" s="52" t="s">
        <v>42</v>
      </c>
      <c r="D17" s="84" t="s">
        <v>2</v>
      </c>
      <c r="E17" s="54" t="s">
        <v>653</v>
      </c>
      <c r="G17" s="67" t="s">
        <v>237</v>
      </c>
      <c r="H17" s="67">
        <v>93</v>
      </c>
      <c r="I17" s="67">
        <f>SUM(I13:I16)</f>
        <v>4</v>
      </c>
      <c r="J17" s="67">
        <f>SUM(J13:J16)</f>
        <v>46</v>
      </c>
      <c r="K17" s="67">
        <f>SUM(K13:K16)</f>
        <v>43</v>
      </c>
    </row>
    <row r="18" spans="2:11" s="11" customFormat="1" ht="33.6" customHeight="1" x14ac:dyDescent="0.25">
      <c r="B18" s="51" t="s">
        <v>73</v>
      </c>
      <c r="C18" s="52" t="s">
        <v>24</v>
      </c>
      <c r="D18" s="83" t="s">
        <v>204</v>
      </c>
      <c r="E18" s="54" t="s">
        <v>654</v>
      </c>
    </row>
    <row r="19" spans="2:11" s="11" customFormat="1" ht="33.6" customHeight="1" x14ac:dyDescent="0.25">
      <c r="B19" s="51" t="s">
        <v>74</v>
      </c>
      <c r="C19" s="52" t="s">
        <v>75</v>
      </c>
      <c r="D19" s="83" t="s">
        <v>204</v>
      </c>
      <c r="E19" s="54" t="s">
        <v>701</v>
      </c>
      <c r="G19" s="65" t="s">
        <v>231</v>
      </c>
      <c r="H19" s="65" t="s">
        <v>206</v>
      </c>
      <c r="I19" s="65" t="s">
        <v>232</v>
      </c>
      <c r="J19" s="65" t="s">
        <v>643</v>
      </c>
    </row>
    <row r="20" spans="2:11" s="11" customFormat="1" ht="33.6" customHeight="1" x14ac:dyDescent="0.25">
      <c r="B20" s="51" t="s">
        <v>76</v>
      </c>
      <c r="C20" s="52" t="s">
        <v>77</v>
      </c>
      <c r="D20" s="77" t="s">
        <v>206</v>
      </c>
      <c r="E20" s="54" t="s">
        <v>700</v>
      </c>
      <c r="G20" s="67" t="s">
        <v>233</v>
      </c>
      <c r="H20" s="68">
        <v>1</v>
      </c>
      <c r="I20" s="68">
        <v>19</v>
      </c>
      <c r="J20" s="68">
        <v>17</v>
      </c>
    </row>
    <row r="21" spans="2:11" s="11" customFormat="1" ht="33.6" customHeight="1" x14ac:dyDescent="0.25">
      <c r="B21" s="51" t="s">
        <v>78</v>
      </c>
      <c r="C21" s="52" t="s">
        <v>79</v>
      </c>
      <c r="D21" s="83" t="s">
        <v>204</v>
      </c>
      <c r="E21" s="54" t="s">
        <v>655</v>
      </c>
      <c r="G21" s="67" t="s">
        <v>234</v>
      </c>
      <c r="H21" s="68">
        <v>1</v>
      </c>
      <c r="I21" s="68">
        <v>5</v>
      </c>
      <c r="J21" s="68">
        <v>2</v>
      </c>
    </row>
    <row r="22" spans="2:11" s="11" customFormat="1" ht="33.6" customHeight="1" x14ac:dyDescent="0.25">
      <c r="B22" s="51" t="s">
        <v>80</v>
      </c>
      <c r="C22" s="52" t="s">
        <v>44</v>
      </c>
      <c r="D22" s="84" t="s">
        <v>2</v>
      </c>
      <c r="E22" s="54" t="s">
        <v>656</v>
      </c>
      <c r="G22" s="67" t="s">
        <v>235</v>
      </c>
      <c r="H22" s="68">
        <v>1</v>
      </c>
      <c r="I22" s="68">
        <v>6</v>
      </c>
      <c r="J22" s="68">
        <v>7</v>
      </c>
    </row>
    <row r="23" spans="2:11" s="11" customFormat="1" ht="33.6" customHeight="1" x14ac:dyDescent="0.25">
      <c r="B23" s="51" t="s">
        <v>81</v>
      </c>
      <c r="C23" s="52" t="s">
        <v>82</v>
      </c>
      <c r="D23" s="83" t="s">
        <v>204</v>
      </c>
      <c r="E23" s="54" t="s">
        <v>657</v>
      </c>
      <c r="G23" s="67" t="s">
        <v>236</v>
      </c>
      <c r="H23" s="68">
        <v>1</v>
      </c>
      <c r="I23" s="68">
        <v>16</v>
      </c>
      <c r="J23" s="68">
        <v>17</v>
      </c>
    </row>
    <row r="24" spans="2:11" s="11" customFormat="1" ht="33.6" customHeight="1" x14ac:dyDescent="0.25">
      <c r="B24" s="51" t="s">
        <v>83</v>
      </c>
      <c r="C24" s="56" t="s">
        <v>202</v>
      </c>
      <c r="D24" s="84" t="s">
        <v>2</v>
      </c>
      <c r="E24" s="45" t="s">
        <v>244</v>
      </c>
    </row>
    <row r="25" spans="2:11" s="11" customFormat="1" ht="33.6" customHeight="1" x14ac:dyDescent="0.25">
      <c r="B25" s="51" t="s">
        <v>84</v>
      </c>
      <c r="C25" s="52" t="s">
        <v>85</v>
      </c>
      <c r="D25" s="83" t="s">
        <v>204</v>
      </c>
      <c r="E25" s="45" t="s">
        <v>245</v>
      </c>
    </row>
    <row r="26" spans="2:11" s="11" customFormat="1" ht="33.6" customHeight="1" x14ac:dyDescent="0.25">
      <c r="B26" s="51" t="s">
        <v>86</v>
      </c>
      <c r="C26" s="52" t="s">
        <v>87</v>
      </c>
      <c r="D26" s="83" t="s">
        <v>204</v>
      </c>
      <c r="E26" s="54" t="s">
        <v>658</v>
      </c>
    </row>
    <row r="27" spans="2:11" s="11" customFormat="1" ht="33.6" customHeight="1" x14ac:dyDescent="0.25">
      <c r="B27" s="51" t="s">
        <v>88</v>
      </c>
      <c r="C27" s="52" t="s">
        <v>89</v>
      </c>
      <c r="D27" s="83" t="s">
        <v>204</v>
      </c>
      <c r="E27" s="45" t="s">
        <v>246</v>
      </c>
    </row>
    <row r="28" spans="2:11" s="11" customFormat="1" ht="39.6" x14ac:dyDescent="0.25">
      <c r="B28" s="51" t="s">
        <v>90</v>
      </c>
      <c r="C28" s="52" t="s">
        <v>91</v>
      </c>
      <c r="D28" s="83" t="s">
        <v>204</v>
      </c>
      <c r="E28" s="54" t="s">
        <v>699</v>
      </c>
    </row>
    <row r="29" spans="2:11" s="11" customFormat="1" ht="33.6" customHeight="1" x14ac:dyDescent="0.25">
      <c r="B29" s="51" t="s">
        <v>92</v>
      </c>
      <c r="C29" s="52" t="s">
        <v>45</v>
      </c>
      <c r="D29" s="83" t="s">
        <v>204</v>
      </c>
      <c r="E29" s="54" t="s">
        <v>659</v>
      </c>
    </row>
    <row r="30" spans="2:11" s="11" customFormat="1" ht="33.6" customHeight="1" x14ac:dyDescent="0.25">
      <c r="B30" s="51" t="s">
        <v>93</v>
      </c>
      <c r="C30" s="52" t="s">
        <v>46</v>
      </c>
      <c r="D30" s="84" t="s">
        <v>2</v>
      </c>
      <c r="E30" s="54" t="s">
        <v>660</v>
      </c>
    </row>
    <row r="31" spans="2:11" s="11" customFormat="1" ht="33.6" customHeight="1" x14ac:dyDescent="0.25">
      <c r="B31" s="51" t="s">
        <v>94</v>
      </c>
      <c r="C31" s="52" t="s">
        <v>47</v>
      </c>
      <c r="D31" s="84" t="s">
        <v>2</v>
      </c>
      <c r="E31" s="45" t="s">
        <v>247</v>
      </c>
    </row>
    <row r="32" spans="2:11" s="11" customFormat="1" ht="33.6" customHeight="1" x14ac:dyDescent="0.25">
      <c r="B32" s="51" t="s">
        <v>95</v>
      </c>
      <c r="C32" s="52" t="s">
        <v>96</v>
      </c>
      <c r="D32" s="83" t="s">
        <v>204</v>
      </c>
      <c r="E32" s="45" t="s">
        <v>248</v>
      </c>
    </row>
    <row r="33" spans="2:5" s="11" customFormat="1" ht="33.6" customHeight="1" x14ac:dyDescent="0.25">
      <c r="B33" s="51" t="s">
        <v>97</v>
      </c>
      <c r="C33" s="52" t="s">
        <v>98</v>
      </c>
      <c r="D33" s="83" t="s">
        <v>204</v>
      </c>
      <c r="E33" s="45" t="s">
        <v>249</v>
      </c>
    </row>
    <row r="34" spans="2:5" s="11" customFormat="1" ht="33.6" customHeight="1" x14ac:dyDescent="0.25">
      <c r="B34" s="51" t="s">
        <v>99</v>
      </c>
      <c r="C34" s="52" t="s">
        <v>100</v>
      </c>
      <c r="D34" s="83" t="s">
        <v>204</v>
      </c>
      <c r="E34" s="45" t="s">
        <v>250</v>
      </c>
    </row>
    <row r="35" spans="2:5" s="11" customFormat="1" ht="33.6" customHeight="1" x14ac:dyDescent="0.25">
      <c r="B35" s="51" t="s">
        <v>101</v>
      </c>
      <c r="C35" s="52" t="s">
        <v>48</v>
      </c>
      <c r="D35" s="84" t="s">
        <v>2</v>
      </c>
      <c r="E35" s="54" t="s">
        <v>661</v>
      </c>
    </row>
    <row r="36" spans="2:5" s="11" customFormat="1" ht="33.6" customHeight="1" x14ac:dyDescent="0.25">
      <c r="B36" s="51" t="s">
        <v>102</v>
      </c>
      <c r="C36" s="52" t="s">
        <v>49</v>
      </c>
      <c r="D36" s="84" t="s">
        <v>2</v>
      </c>
      <c r="E36" s="45" t="s">
        <v>251</v>
      </c>
    </row>
    <row r="37" spans="2:5" s="11" customFormat="1" ht="33.6" customHeight="1" x14ac:dyDescent="0.25">
      <c r="B37" s="51" t="s">
        <v>103</v>
      </c>
      <c r="C37" s="52" t="s">
        <v>104</v>
      </c>
      <c r="D37" s="84" t="s">
        <v>2</v>
      </c>
      <c r="E37" s="54" t="s">
        <v>662</v>
      </c>
    </row>
    <row r="38" spans="2:5" s="11" customFormat="1" ht="33.6" customHeight="1" x14ac:dyDescent="0.25">
      <c r="B38" s="51" t="s">
        <v>105</v>
      </c>
      <c r="C38" s="52" t="s">
        <v>50</v>
      </c>
      <c r="D38" s="83" t="s">
        <v>204</v>
      </c>
      <c r="E38" s="54" t="s">
        <v>702</v>
      </c>
    </row>
    <row r="39" spans="2:5" s="11" customFormat="1" ht="33.6" customHeight="1" x14ac:dyDescent="0.25">
      <c r="B39" s="51" t="s">
        <v>106</v>
      </c>
      <c r="C39" s="52" t="s">
        <v>107</v>
      </c>
      <c r="D39" s="83" t="s">
        <v>204</v>
      </c>
      <c r="E39" s="54" t="s">
        <v>663</v>
      </c>
    </row>
    <row r="40" spans="2:5" s="11" customFormat="1" ht="33.6" customHeight="1" x14ac:dyDescent="0.25">
      <c r="B40" s="51" t="s">
        <v>108</v>
      </c>
      <c r="C40" s="52" t="s">
        <v>34</v>
      </c>
      <c r="D40" s="84" t="s">
        <v>2</v>
      </c>
      <c r="E40" s="54" t="s">
        <v>664</v>
      </c>
    </row>
    <row r="41" spans="2:5" s="9" customFormat="1" ht="33.6" customHeight="1" x14ac:dyDescent="0.45">
      <c r="B41" s="50" t="s">
        <v>8</v>
      </c>
      <c r="C41" s="93" t="s">
        <v>52</v>
      </c>
      <c r="D41" s="93"/>
      <c r="E41" s="93"/>
    </row>
    <row r="42" spans="2:5" s="17" customFormat="1" ht="33.6" customHeight="1" x14ac:dyDescent="0.25">
      <c r="B42" s="51" t="s">
        <v>109</v>
      </c>
      <c r="C42" s="52" t="s">
        <v>15</v>
      </c>
      <c r="D42" s="83" t="s">
        <v>204</v>
      </c>
      <c r="E42" s="54" t="s">
        <v>665</v>
      </c>
    </row>
    <row r="43" spans="2:5" s="17" customFormat="1" ht="33.6" customHeight="1" x14ac:dyDescent="0.25">
      <c r="B43" s="51" t="s">
        <v>110</v>
      </c>
      <c r="C43" s="52" t="s">
        <v>16</v>
      </c>
      <c r="D43" s="83" t="s">
        <v>204</v>
      </c>
      <c r="E43" s="54" t="s">
        <v>666</v>
      </c>
    </row>
    <row r="44" spans="2:5" s="17" customFormat="1" ht="33.6" customHeight="1" x14ac:dyDescent="0.25">
      <c r="B44" s="51" t="s">
        <v>111</v>
      </c>
      <c r="C44" s="52" t="s">
        <v>19</v>
      </c>
      <c r="D44" s="83" t="s">
        <v>204</v>
      </c>
      <c r="E44" s="54" t="s">
        <v>703</v>
      </c>
    </row>
    <row r="45" spans="2:5" s="17" customFormat="1" ht="33.6" customHeight="1" x14ac:dyDescent="0.25">
      <c r="B45" s="51" t="s">
        <v>112</v>
      </c>
      <c r="C45" s="52" t="s">
        <v>20</v>
      </c>
      <c r="D45" s="53" t="s">
        <v>2</v>
      </c>
      <c r="E45" s="54" t="s">
        <v>704</v>
      </c>
    </row>
    <row r="46" spans="2:5" s="17" customFormat="1" ht="33.6" customHeight="1" x14ac:dyDescent="0.25">
      <c r="B46" s="51" t="s">
        <v>113</v>
      </c>
      <c r="C46" s="52" t="s">
        <v>114</v>
      </c>
      <c r="D46" s="53" t="s">
        <v>2</v>
      </c>
      <c r="E46" s="45" t="s">
        <v>705</v>
      </c>
    </row>
    <row r="47" spans="2:5" s="17" customFormat="1" ht="33.6" customHeight="1" x14ac:dyDescent="0.25">
      <c r="B47" s="51" t="s">
        <v>115</v>
      </c>
      <c r="C47" s="52" t="s">
        <v>116</v>
      </c>
      <c r="D47" s="83" t="s">
        <v>204</v>
      </c>
      <c r="E47" s="54" t="s">
        <v>667</v>
      </c>
    </row>
    <row r="48" spans="2:5" s="17" customFormat="1" ht="33.6" customHeight="1" x14ac:dyDescent="0.25">
      <c r="B48" s="51" t="s">
        <v>117</v>
      </c>
      <c r="C48" s="52" t="s">
        <v>118</v>
      </c>
      <c r="D48" s="77" t="s">
        <v>206</v>
      </c>
      <c r="E48" s="54" t="s">
        <v>706</v>
      </c>
    </row>
    <row r="49" spans="2:5" s="17" customFormat="1" ht="45.6" customHeight="1" x14ac:dyDescent="0.25">
      <c r="B49" s="51" t="s">
        <v>119</v>
      </c>
      <c r="C49" s="52" t="s">
        <v>120</v>
      </c>
      <c r="D49" s="83" t="s">
        <v>204</v>
      </c>
      <c r="E49" s="54" t="s">
        <v>707</v>
      </c>
    </row>
    <row r="50" spans="2:5" s="9" customFormat="1" ht="33.6" customHeight="1" x14ac:dyDescent="0.45">
      <c r="B50" s="50" t="s">
        <v>14</v>
      </c>
      <c r="C50" s="93" t="s">
        <v>53</v>
      </c>
      <c r="D50" s="93"/>
      <c r="E50" s="93"/>
    </row>
    <row r="51" spans="2:5" s="17" customFormat="1" ht="33.6" customHeight="1" x14ac:dyDescent="0.25">
      <c r="B51" s="51" t="s">
        <v>142</v>
      </c>
      <c r="C51" s="52" t="s">
        <v>141</v>
      </c>
      <c r="D51" s="77" t="s">
        <v>206</v>
      </c>
      <c r="E51" s="54" t="s">
        <v>668</v>
      </c>
    </row>
    <row r="52" spans="2:5" s="17" customFormat="1" ht="33.6" customHeight="1" x14ac:dyDescent="0.25">
      <c r="B52" s="51" t="s">
        <v>140</v>
      </c>
      <c r="C52" s="52" t="s">
        <v>139</v>
      </c>
      <c r="D52" s="83" t="s">
        <v>204</v>
      </c>
      <c r="E52" s="54" t="s">
        <v>669</v>
      </c>
    </row>
    <row r="53" spans="2:5" s="17" customFormat="1" ht="33.6" customHeight="1" x14ac:dyDescent="0.25">
      <c r="B53" s="51" t="s">
        <v>138</v>
      </c>
      <c r="C53" s="52" t="s">
        <v>28</v>
      </c>
      <c r="D53" s="83" t="s">
        <v>204</v>
      </c>
      <c r="E53" s="54" t="s">
        <v>670</v>
      </c>
    </row>
    <row r="54" spans="2:5" s="17" customFormat="1" ht="33.6" customHeight="1" x14ac:dyDescent="0.25">
      <c r="B54" s="51" t="s">
        <v>137</v>
      </c>
      <c r="C54" s="52" t="s">
        <v>136</v>
      </c>
      <c r="D54" s="53" t="s">
        <v>2</v>
      </c>
      <c r="E54" s="54" t="s">
        <v>708</v>
      </c>
    </row>
    <row r="55" spans="2:5" s="17" customFormat="1" ht="33.6" customHeight="1" x14ac:dyDescent="0.25">
      <c r="B55" s="51" t="s">
        <v>135</v>
      </c>
      <c r="C55" s="52" t="s">
        <v>134</v>
      </c>
      <c r="D55" s="83" t="s">
        <v>204</v>
      </c>
      <c r="E55" s="54" t="s">
        <v>671</v>
      </c>
    </row>
    <row r="56" spans="2:5" s="17" customFormat="1" ht="33.6" customHeight="1" x14ac:dyDescent="0.25">
      <c r="B56" s="51" t="s">
        <v>133</v>
      </c>
      <c r="C56" s="52" t="s">
        <v>29</v>
      </c>
      <c r="D56" s="83" t="s">
        <v>204</v>
      </c>
      <c r="E56" s="45" t="s">
        <v>252</v>
      </c>
    </row>
    <row r="57" spans="2:5" s="17" customFormat="1" ht="33.6" customHeight="1" x14ac:dyDescent="0.25">
      <c r="B57" s="51" t="s">
        <v>132</v>
      </c>
      <c r="C57" s="52" t="s">
        <v>131</v>
      </c>
      <c r="D57" s="53" t="s">
        <v>2</v>
      </c>
      <c r="E57" s="54" t="s">
        <v>672</v>
      </c>
    </row>
    <row r="58" spans="2:5" s="17" customFormat="1" ht="33.6" customHeight="1" x14ac:dyDescent="0.25">
      <c r="B58" s="51" t="s">
        <v>130</v>
      </c>
      <c r="C58" s="52" t="s">
        <v>30</v>
      </c>
      <c r="D58" s="83" t="s">
        <v>204</v>
      </c>
      <c r="E58" s="54" t="s">
        <v>673</v>
      </c>
    </row>
    <row r="59" spans="2:5" s="17" customFormat="1" ht="33.6" customHeight="1" x14ac:dyDescent="0.25">
      <c r="B59" s="51" t="s">
        <v>129</v>
      </c>
      <c r="C59" s="52" t="s">
        <v>128</v>
      </c>
      <c r="D59" s="53" t="s">
        <v>2</v>
      </c>
      <c r="E59" s="54" t="s">
        <v>674</v>
      </c>
    </row>
    <row r="60" spans="2:5" s="17" customFormat="1" ht="33.6" customHeight="1" x14ac:dyDescent="0.25">
      <c r="B60" s="51" t="s">
        <v>127</v>
      </c>
      <c r="C60" s="52" t="s">
        <v>126</v>
      </c>
      <c r="D60" s="83" t="s">
        <v>204</v>
      </c>
      <c r="E60" s="54" t="s">
        <v>675</v>
      </c>
    </row>
    <row r="61" spans="2:5" s="17" customFormat="1" ht="33.6" customHeight="1" x14ac:dyDescent="0.25">
      <c r="B61" s="51" t="s">
        <v>125</v>
      </c>
      <c r="C61" s="52" t="s">
        <v>31</v>
      </c>
      <c r="D61" s="53" t="s">
        <v>2</v>
      </c>
      <c r="E61" s="54" t="s">
        <v>676</v>
      </c>
    </row>
    <row r="62" spans="2:5" s="17" customFormat="1" ht="33.6" customHeight="1" x14ac:dyDescent="0.25">
      <c r="B62" s="51" t="s">
        <v>124</v>
      </c>
      <c r="C62" s="52" t="s">
        <v>32</v>
      </c>
      <c r="D62" s="53" t="s">
        <v>2</v>
      </c>
      <c r="E62" s="54" t="s">
        <v>677</v>
      </c>
    </row>
    <row r="63" spans="2:5" s="17" customFormat="1" ht="33.6" customHeight="1" x14ac:dyDescent="0.25">
      <c r="B63" s="51" t="s">
        <v>123</v>
      </c>
      <c r="C63" s="52" t="s">
        <v>33</v>
      </c>
      <c r="D63" s="53" t="s">
        <v>2</v>
      </c>
      <c r="E63" s="54" t="s">
        <v>678</v>
      </c>
    </row>
    <row r="64" spans="2:5" s="17" customFormat="1" ht="33.6" customHeight="1" x14ac:dyDescent="0.25">
      <c r="B64" s="51" t="s">
        <v>122</v>
      </c>
      <c r="C64" s="52" t="s">
        <v>121</v>
      </c>
      <c r="D64" s="53" t="s">
        <v>2</v>
      </c>
      <c r="E64" s="54" t="s">
        <v>679</v>
      </c>
    </row>
    <row r="65" spans="2:5" s="9" customFormat="1" ht="30.6" customHeight="1" x14ac:dyDescent="0.45">
      <c r="B65" s="50" t="s">
        <v>18</v>
      </c>
      <c r="C65" s="93" t="s">
        <v>54</v>
      </c>
      <c r="D65" s="93"/>
      <c r="E65" s="93"/>
    </row>
    <row r="66" spans="2:5" s="17" customFormat="1" ht="30.6" customHeight="1" x14ac:dyDescent="0.25">
      <c r="B66" s="51" t="s">
        <v>143</v>
      </c>
      <c r="C66" s="52" t="s">
        <v>144</v>
      </c>
      <c r="D66" s="83" t="s">
        <v>204</v>
      </c>
      <c r="E66" s="54" t="s">
        <v>680</v>
      </c>
    </row>
    <row r="67" spans="2:5" s="17" customFormat="1" ht="30.6" customHeight="1" x14ac:dyDescent="0.25">
      <c r="B67" s="51" t="s">
        <v>145</v>
      </c>
      <c r="C67" s="52" t="s">
        <v>146</v>
      </c>
      <c r="D67" s="77" t="s">
        <v>206</v>
      </c>
      <c r="E67" s="54" t="s">
        <v>709</v>
      </c>
    </row>
    <row r="68" spans="2:5" s="17" customFormat="1" ht="30.6" customHeight="1" x14ac:dyDescent="0.25">
      <c r="B68" s="51" t="s">
        <v>147</v>
      </c>
      <c r="C68" s="52" t="s">
        <v>26</v>
      </c>
      <c r="D68" s="83" t="s">
        <v>204</v>
      </c>
      <c r="E68" s="54" t="s">
        <v>681</v>
      </c>
    </row>
    <row r="69" spans="2:5" s="17" customFormat="1" ht="30.6" customHeight="1" x14ac:dyDescent="0.25">
      <c r="B69" s="51" t="s">
        <v>148</v>
      </c>
      <c r="C69" s="52" t="s">
        <v>149</v>
      </c>
      <c r="D69" s="83" t="s">
        <v>204</v>
      </c>
      <c r="E69" s="54" t="s">
        <v>682</v>
      </c>
    </row>
    <row r="70" spans="2:5" s="17" customFormat="1" ht="30.6" customHeight="1" x14ac:dyDescent="0.25">
      <c r="B70" s="51" t="s">
        <v>150</v>
      </c>
      <c r="C70" s="52" t="s">
        <v>151</v>
      </c>
      <c r="D70" s="83" t="s">
        <v>204</v>
      </c>
      <c r="E70" s="54" t="s">
        <v>710</v>
      </c>
    </row>
    <row r="71" spans="2:5" s="17" customFormat="1" ht="30.6" customHeight="1" x14ac:dyDescent="0.25">
      <c r="B71" s="51" t="s">
        <v>152</v>
      </c>
      <c r="C71" s="52" t="s">
        <v>36</v>
      </c>
      <c r="D71" s="53" t="s">
        <v>2</v>
      </c>
      <c r="E71" s="54" t="s">
        <v>683</v>
      </c>
    </row>
    <row r="72" spans="2:5" s="17" customFormat="1" ht="30.6" customHeight="1" x14ac:dyDescent="0.25">
      <c r="B72" s="51" t="s">
        <v>153</v>
      </c>
      <c r="C72" s="52" t="s">
        <v>154</v>
      </c>
      <c r="D72" s="83" t="s">
        <v>204</v>
      </c>
      <c r="E72" s="45" t="s">
        <v>253</v>
      </c>
    </row>
    <row r="73" spans="2:5" s="17" customFormat="1" ht="30.6" customHeight="1" x14ac:dyDescent="0.25">
      <c r="B73" s="51" t="s">
        <v>155</v>
      </c>
      <c r="C73" s="52" t="s">
        <v>40</v>
      </c>
      <c r="D73" s="83" t="s">
        <v>204</v>
      </c>
      <c r="E73" s="45" t="s">
        <v>254</v>
      </c>
    </row>
    <row r="74" spans="2:5" s="17" customFormat="1" ht="30.6" customHeight="1" x14ac:dyDescent="0.25">
      <c r="B74" s="51" t="s">
        <v>156</v>
      </c>
      <c r="C74" s="52" t="s">
        <v>157</v>
      </c>
      <c r="D74" s="53" t="s">
        <v>2</v>
      </c>
      <c r="E74" s="54" t="s">
        <v>684</v>
      </c>
    </row>
    <row r="75" spans="2:5" s="17" customFormat="1" ht="30.6" customHeight="1" x14ac:dyDescent="0.25">
      <c r="B75" s="51" t="s">
        <v>158</v>
      </c>
      <c r="C75" s="52" t="s">
        <v>159</v>
      </c>
      <c r="D75" s="53" t="s">
        <v>2</v>
      </c>
      <c r="E75" s="54" t="s">
        <v>685</v>
      </c>
    </row>
    <row r="76" spans="2:5" s="17" customFormat="1" ht="30.6" customHeight="1" x14ac:dyDescent="0.25">
      <c r="B76" s="51" t="s">
        <v>160</v>
      </c>
      <c r="C76" s="52" t="s">
        <v>161</v>
      </c>
      <c r="D76" s="53" t="s">
        <v>2</v>
      </c>
      <c r="E76" s="45" t="s">
        <v>255</v>
      </c>
    </row>
    <row r="77" spans="2:5" s="17" customFormat="1" ht="30.6" customHeight="1" x14ac:dyDescent="0.25">
      <c r="B77" s="51" t="s">
        <v>162</v>
      </c>
      <c r="C77" s="52" t="s">
        <v>163</v>
      </c>
      <c r="D77" s="53" t="s">
        <v>2</v>
      </c>
      <c r="E77" s="54" t="s">
        <v>686</v>
      </c>
    </row>
    <row r="78" spans="2:5" s="17" customFormat="1" ht="30.6" customHeight="1" x14ac:dyDescent="0.25">
      <c r="B78" s="51" t="s">
        <v>164</v>
      </c>
      <c r="C78" s="52" t="s">
        <v>37</v>
      </c>
      <c r="D78" s="83" t="s">
        <v>204</v>
      </c>
      <c r="E78" s="54" t="s">
        <v>687</v>
      </c>
    </row>
    <row r="79" spans="2:5" s="17" customFormat="1" ht="30.6" customHeight="1" x14ac:dyDescent="0.25">
      <c r="B79" s="51" t="s">
        <v>165</v>
      </c>
      <c r="C79" s="52" t="s">
        <v>166</v>
      </c>
      <c r="D79" s="83" t="s">
        <v>204</v>
      </c>
      <c r="E79" s="45" t="s">
        <v>256</v>
      </c>
    </row>
    <row r="80" spans="2:5" s="17" customFormat="1" ht="30.6" customHeight="1" x14ac:dyDescent="0.25">
      <c r="B80" s="51" t="s">
        <v>167</v>
      </c>
      <c r="C80" s="52" t="s">
        <v>168</v>
      </c>
      <c r="D80" s="83" t="s">
        <v>204</v>
      </c>
      <c r="E80" s="54" t="s">
        <v>688</v>
      </c>
    </row>
    <row r="81" spans="2:5" s="17" customFormat="1" ht="30.6" customHeight="1" x14ac:dyDescent="0.25">
      <c r="B81" s="51" t="s">
        <v>169</v>
      </c>
      <c r="C81" s="52" t="s">
        <v>170</v>
      </c>
      <c r="D81" s="83" t="s">
        <v>204</v>
      </c>
      <c r="E81" s="54" t="s">
        <v>689</v>
      </c>
    </row>
    <row r="82" spans="2:5" s="17" customFormat="1" ht="30.6" customHeight="1" x14ac:dyDescent="0.25">
      <c r="B82" s="51" t="s">
        <v>171</v>
      </c>
      <c r="C82" s="52" t="s">
        <v>172</v>
      </c>
      <c r="D82" s="53" t="s">
        <v>2</v>
      </c>
      <c r="E82" s="54" t="s">
        <v>690</v>
      </c>
    </row>
    <row r="83" spans="2:5" s="17" customFormat="1" ht="30.6" customHeight="1" x14ac:dyDescent="0.25">
      <c r="B83" s="51" t="s">
        <v>173</v>
      </c>
      <c r="C83" s="52" t="s">
        <v>27</v>
      </c>
      <c r="D83" s="83" t="s">
        <v>204</v>
      </c>
      <c r="E83" s="45" t="s">
        <v>257</v>
      </c>
    </row>
    <row r="84" spans="2:5" s="17" customFormat="1" ht="30.6" customHeight="1" x14ac:dyDescent="0.25">
      <c r="B84" s="51" t="s">
        <v>174</v>
      </c>
      <c r="C84" s="52" t="s">
        <v>39</v>
      </c>
      <c r="D84" s="83" t="s">
        <v>204</v>
      </c>
      <c r="E84" s="45" t="s">
        <v>711</v>
      </c>
    </row>
    <row r="85" spans="2:5" s="17" customFormat="1" ht="30.6" customHeight="1" x14ac:dyDescent="0.25">
      <c r="B85" s="51" t="s">
        <v>175</v>
      </c>
      <c r="C85" s="52" t="s">
        <v>176</v>
      </c>
      <c r="D85" s="83" t="s">
        <v>204</v>
      </c>
      <c r="E85" s="54" t="s">
        <v>691</v>
      </c>
    </row>
    <row r="86" spans="2:5" s="17" customFormat="1" ht="30.6" customHeight="1" x14ac:dyDescent="0.25">
      <c r="B86" s="51" t="s">
        <v>177</v>
      </c>
      <c r="C86" s="52" t="s">
        <v>41</v>
      </c>
      <c r="D86" s="83" t="s">
        <v>204</v>
      </c>
      <c r="E86" s="45" t="s">
        <v>258</v>
      </c>
    </row>
    <row r="87" spans="2:5" s="17" customFormat="1" ht="30.6" customHeight="1" x14ac:dyDescent="0.25">
      <c r="B87" s="51" t="s">
        <v>178</v>
      </c>
      <c r="C87" s="52" t="s">
        <v>179</v>
      </c>
      <c r="D87" s="53" t="s">
        <v>2</v>
      </c>
      <c r="E87" s="54" t="s">
        <v>692</v>
      </c>
    </row>
    <row r="88" spans="2:5" s="17" customFormat="1" ht="30.6" customHeight="1" x14ac:dyDescent="0.25">
      <c r="B88" s="51" t="s">
        <v>180</v>
      </c>
      <c r="C88" s="52" t="s">
        <v>181</v>
      </c>
      <c r="D88" s="53" t="s">
        <v>2</v>
      </c>
      <c r="E88" s="54" t="s">
        <v>693</v>
      </c>
    </row>
    <row r="89" spans="2:5" s="17" customFormat="1" ht="30.6" customHeight="1" x14ac:dyDescent="0.25">
      <c r="B89" s="51" t="s">
        <v>182</v>
      </c>
      <c r="C89" s="52" t="s">
        <v>183</v>
      </c>
      <c r="D89" s="53" t="s">
        <v>2</v>
      </c>
      <c r="E89" s="54" t="s">
        <v>694</v>
      </c>
    </row>
    <row r="90" spans="2:5" s="17" customFormat="1" ht="30.6" customHeight="1" x14ac:dyDescent="0.25">
      <c r="B90" s="51" t="s">
        <v>184</v>
      </c>
      <c r="C90" s="52" t="s">
        <v>185</v>
      </c>
      <c r="D90" s="53" t="s">
        <v>2</v>
      </c>
      <c r="E90" s="54" t="s">
        <v>695</v>
      </c>
    </row>
    <row r="91" spans="2:5" s="17" customFormat="1" ht="30.6" customHeight="1" x14ac:dyDescent="0.25">
      <c r="B91" s="51" t="s">
        <v>186</v>
      </c>
      <c r="C91" s="52" t="s">
        <v>187</v>
      </c>
      <c r="D91" s="53" t="s">
        <v>2</v>
      </c>
      <c r="E91" s="45" t="s">
        <v>259</v>
      </c>
    </row>
    <row r="92" spans="2:5" s="17" customFormat="1" ht="30.6" customHeight="1" x14ac:dyDescent="0.25">
      <c r="B92" s="51" t="s">
        <v>188</v>
      </c>
      <c r="C92" s="52" t="s">
        <v>189</v>
      </c>
      <c r="D92" s="53" t="s">
        <v>2</v>
      </c>
      <c r="E92" s="54" t="s">
        <v>696</v>
      </c>
    </row>
    <row r="93" spans="2:5" s="17" customFormat="1" ht="30.6" customHeight="1" x14ac:dyDescent="0.25">
      <c r="B93" s="51" t="s">
        <v>190</v>
      </c>
      <c r="C93" s="52" t="s">
        <v>191</v>
      </c>
      <c r="D93" s="53" t="s">
        <v>2</v>
      </c>
      <c r="E93" s="54" t="s">
        <v>747</v>
      </c>
    </row>
    <row r="94" spans="2:5" s="17" customFormat="1" ht="30.6" customHeight="1" x14ac:dyDescent="0.25">
      <c r="B94" s="51" t="s">
        <v>192</v>
      </c>
      <c r="C94" s="52" t="s">
        <v>193</v>
      </c>
      <c r="D94" s="53" t="s">
        <v>2</v>
      </c>
      <c r="E94" s="54" t="s">
        <v>748</v>
      </c>
    </row>
    <row r="95" spans="2:5" s="17" customFormat="1" ht="30.6" customHeight="1" x14ac:dyDescent="0.25">
      <c r="B95" s="51" t="s">
        <v>194</v>
      </c>
      <c r="C95" s="52" t="s">
        <v>43</v>
      </c>
      <c r="D95" s="53" t="s">
        <v>2</v>
      </c>
      <c r="E95" s="45" t="s">
        <v>260</v>
      </c>
    </row>
    <row r="96" spans="2:5" s="17" customFormat="1" ht="30.6" customHeight="1" x14ac:dyDescent="0.25">
      <c r="B96" s="51" t="s">
        <v>195</v>
      </c>
      <c r="C96" s="52" t="s">
        <v>196</v>
      </c>
      <c r="D96" s="53" t="s">
        <v>2</v>
      </c>
      <c r="E96" s="54" t="s">
        <v>749</v>
      </c>
    </row>
    <row r="97" spans="1:5" s="17" customFormat="1" ht="30.6" customHeight="1" x14ac:dyDescent="0.25">
      <c r="B97" s="51" t="s">
        <v>197</v>
      </c>
      <c r="C97" s="52" t="s">
        <v>35</v>
      </c>
      <c r="D97" s="83" t="s">
        <v>204</v>
      </c>
      <c r="E97" s="45" t="s">
        <v>261</v>
      </c>
    </row>
    <row r="98" spans="1:5" s="17" customFormat="1" ht="30.6" customHeight="1" x14ac:dyDescent="0.25">
      <c r="B98" s="51" t="s">
        <v>198</v>
      </c>
      <c r="C98" s="52" t="s">
        <v>199</v>
      </c>
      <c r="D98" s="53" t="s">
        <v>2</v>
      </c>
      <c r="E98" s="45" t="s">
        <v>262</v>
      </c>
    </row>
    <row r="99" spans="1:5" s="17" customFormat="1" ht="30.6" customHeight="1" x14ac:dyDescent="0.25">
      <c r="B99" s="51" t="s">
        <v>200</v>
      </c>
      <c r="C99" s="52" t="s">
        <v>201</v>
      </c>
      <c r="D99" s="83" t="s">
        <v>204</v>
      </c>
      <c r="E99" s="45" t="s">
        <v>263</v>
      </c>
    </row>
    <row r="100" spans="1:5" s="5" customFormat="1" ht="15.6" x14ac:dyDescent="0.25">
      <c r="A100" s="18"/>
      <c r="B100" s="6"/>
      <c r="C100" s="14"/>
      <c r="D100" s="12">
        <f>COUNTA(D3:D99)</f>
        <v>93</v>
      </c>
      <c r="E100" s="12"/>
    </row>
    <row r="101" spans="1:5" s="5" customFormat="1" ht="15.6" x14ac:dyDescent="0.25">
      <c r="A101" s="2"/>
      <c r="B101" s="2"/>
      <c r="C101" s="15"/>
      <c r="D101" s="6"/>
      <c r="E101" s="6"/>
    </row>
    <row r="102" spans="1:5" s="5" customFormat="1" ht="15.6" x14ac:dyDescent="0.25">
      <c r="A102" s="2"/>
      <c r="B102" s="2"/>
      <c r="C102" s="15"/>
      <c r="D102" s="6"/>
      <c r="E102" s="6"/>
    </row>
    <row r="103" spans="1:5" s="5" customFormat="1" ht="15.6" x14ac:dyDescent="0.25">
      <c r="A103" s="2"/>
      <c r="B103" s="2"/>
      <c r="C103" s="15"/>
      <c r="D103" s="6"/>
      <c r="E103" s="6"/>
    </row>
    <row r="104" spans="1:5" s="5" customFormat="1" ht="15.6" x14ac:dyDescent="0.25">
      <c r="A104" s="2"/>
      <c r="B104" s="2"/>
      <c r="C104" s="15"/>
      <c r="D104" s="6"/>
      <c r="E104" s="6"/>
    </row>
    <row r="105" spans="1:5" s="5" customFormat="1" ht="15.6" x14ac:dyDescent="0.25">
      <c r="A105" s="2"/>
      <c r="B105" s="2"/>
      <c r="C105" s="15"/>
      <c r="D105" s="6"/>
      <c r="E105" s="6"/>
    </row>
    <row r="106" spans="1:5" s="5" customFormat="1" ht="15.6" x14ac:dyDescent="0.25">
      <c r="A106" s="2"/>
      <c r="B106" s="2"/>
      <c r="C106" s="15"/>
      <c r="D106" s="6"/>
      <c r="E106" s="6"/>
    </row>
    <row r="107" spans="1:5" s="5" customFormat="1" ht="15.6" x14ac:dyDescent="0.25">
      <c r="A107" s="2"/>
      <c r="B107" s="2"/>
      <c r="C107" s="15"/>
      <c r="D107" s="6"/>
      <c r="E107" s="6"/>
    </row>
    <row r="108" spans="1:5" s="5" customFormat="1" ht="15.6" x14ac:dyDescent="0.25">
      <c r="A108" s="2"/>
      <c r="B108" s="2"/>
      <c r="C108" s="15"/>
      <c r="D108" s="6"/>
      <c r="E108" s="6"/>
    </row>
    <row r="109" spans="1:5" s="5" customFormat="1" ht="15.6" x14ac:dyDescent="0.25">
      <c r="A109" s="2"/>
      <c r="B109" s="2"/>
      <c r="C109" s="15"/>
      <c r="D109" s="6"/>
      <c r="E109" s="6"/>
    </row>
    <row r="110" spans="1:5" s="5" customFormat="1" ht="15.6" x14ac:dyDescent="0.25">
      <c r="A110" s="2"/>
      <c r="B110" s="2"/>
      <c r="C110" s="15"/>
      <c r="D110" s="6"/>
      <c r="E110" s="6"/>
    </row>
  </sheetData>
  <sheetProtection selectLockedCells="1" selectUnlockedCells="1"/>
  <autoFilter ref="B2:E100" xr:uid="{00000000-0001-0000-0200-000000000000}"/>
  <mergeCells count="11">
    <mergeCell ref="C65:E65"/>
    <mergeCell ref="H4:I4"/>
    <mergeCell ref="B1:E1"/>
    <mergeCell ref="C3:E3"/>
    <mergeCell ref="C41:E41"/>
    <mergeCell ref="C50:E50"/>
    <mergeCell ref="H5:I5"/>
    <mergeCell ref="H6:I6"/>
    <mergeCell ref="H7:I7"/>
    <mergeCell ref="H8:I8"/>
    <mergeCell ref="H9:I9"/>
  </mergeCells>
  <conditionalFormatting sqref="D4:D40">
    <cfRule type="cellIs" dxfId="32" priority="1556" operator="equal">
      <formula>#REF!</formula>
    </cfRule>
    <cfRule type="cellIs" dxfId="31" priority="1551" operator="equal">
      <formula>#REF!</formula>
    </cfRule>
    <cfRule type="cellIs" dxfId="30" priority="1552" operator="equal">
      <formula>#REF!</formula>
    </cfRule>
    <cfRule type="cellIs" dxfId="29" priority="1553" operator="equal">
      <formula>#REF!</formula>
    </cfRule>
    <cfRule type="cellIs" dxfId="28" priority="1554" operator="equal">
      <formula>#REF!</formula>
    </cfRule>
    <cfRule type="cellIs" dxfId="27" priority="1555" operator="equal">
      <formula>#REF!</formula>
    </cfRule>
    <cfRule type="expression" dxfId="26" priority="1561" stopIfTrue="1">
      <formula>_xludf.STYLE(VLOOKUP(D4,#REF!,2,0))</formula>
    </cfRule>
    <cfRule type="containsText" dxfId="25" priority="1560" operator="containsText" text="Nonexistent">
      <formula>NOT(ISERROR(SEARCH("Nonexistent",D4)))</formula>
    </cfRule>
    <cfRule type="containsText" dxfId="24" priority="1559" operator="containsText" text="Initial">
      <formula>NOT(ISERROR(SEARCH("Initial",D4)))</formula>
    </cfRule>
    <cfRule type="cellIs" dxfId="23" priority="1558" operator="equal">
      <formula>#REF!</formula>
    </cfRule>
    <cfRule type="cellIs" dxfId="22" priority="1557" operator="equal">
      <formula>#REF!</formula>
    </cfRule>
  </conditionalFormatting>
  <conditionalFormatting sqref="D42:D49 D51:D64">
    <cfRule type="cellIs" dxfId="21" priority="1567" operator="equal">
      <formula>#REF!</formula>
    </cfRule>
    <cfRule type="cellIs" dxfId="20" priority="1568" operator="equal">
      <formula>#REF!</formula>
    </cfRule>
    <cfRule type="cellIs" dxfId="19" priority="1569" operator="equal">
      <formula>#REF!</formula>
    </cfRule>
    <cfRule type="containsText" dxfId="18" priority="1570" operator="containsText" text="Initial">
      <formula>NOT(ISERROR(SEARCH("Initial",D42)))</formula>
    </cfRule>
    <cfRule type="containsText" dxfId="17" priority="1571" operator="containsText" text="Nonexistent">
      <formula>NOT(ISERROR(SEARCH("Nonexistent",D42)))</formula>
    </cfRule>
    <cfRule type="expression" dxfId="16" priority="1572" stopIfTrue="1">
      <formula>_xludf.STYLE(VLOOKUP(D42,#REF!,2,0))</formula>
    </cfRule>
    <cfRule type="cellIs" dxfId="15" priority="1562" operator="equal">
      <formula>#REF!</formula>
    </cfRule>
    <cfRule type="cellIs" dxfId="14" priority="1563" operator="equal">
      <formula>#REF!</formula>
    </cfRule>
    <cfRule type="cellIs" dxfId="13" priority="1564" operator="equal">
      <formula>#REF!</formula>
    </cfRule>
    <cfRule type="cellIs" dxfId="12" priority="1565" operator="equal">
      <formula>#REF!</formula>
    </cfRule>
    <cfRule type="cellIs" dxfId="11" priority="1566" operator="equal">
      <formula>#REF!</formula>
    </cfRule>
  </conditionalFormatting>
  <conditionalFormatting sqref="D66:D99">
    <cfRule type="cellIs" dxfId="10" priority="2" operator="equal">
      <formula>#REF!</formula>
    </cfRule>
    <cfRule type="cellIs" dxfId="9" priority="3" operator="equal">
      <formula>#REF!</formula>
    </cfRule>
    <cfRule type="cellIs" dxfId="8" priority="4" operator="equal">
      <formula>#REF!</formula>
    </cfRule>
    <cfRule type="cellIs" dxfId="7" priority="5" operator="equal">
      <formula>#REF!</formula>
    </cfRule>
    <cfRule type="cellIs" dxfId="6" priority="6" operator="equal">
      <formula>#REF!</formula>
    </cfRule>
    <cfRule type="expression" dxfId="5" priority="11" stopIfTrue="1">
      <formula>_xludf.STYLE(VLOOKUP(D66,#REF!,2,0))</formula>
    </cfRule>
    <cfRule type="containsText" dxfId="4" priority="10" operator="containsText" text="Nonexistent">
      <formula>NOT(ISERROR(SEARCH("Nonexistent",D66)))</formula>
    </cfRule>
    <cfRule type="containsText" dxfId="3" priority="9" operator="containsText" text="Initial">
      <formula>NOT(ISERROR(SEARCH("Initial",D66)))</formula>
    </cfRule>
    <cfRule type="cellIs" dxfId="2" priority="8" operator="equal">
      <formula>#REF!</formula>
    </cfRule>
    <cfRule type="cellIs" dxfId="1" priority="7" operator="equal">
      <formula>#REF!</formula>
    </cfRule>
    <cfRule type="cellIs" dxfId="0" priority="1" operator="equal">
      <formula>#REF!</formula>
    </cfRule>
  </conditionalFormatting>
  <dataValidations count="1">
    <dataValidation type="list" operator="equal" allowBlank="1" showInputMessage="1" showErrorMessage="1" promptTitle="Select status" sqref="D42:D49 D4:D40 D51:D64 D66:D99" xr:uid="{00000000-0002-0000-0200-000000000000}">
      <formula1>#REF!</formula1>
    </dataValidation>
  </dataValidations>
  <printOptions gridLines="1"/>
  <pageMargins left="0.39374999999999999" right="0.2951388888888889" top="0.2951388888888889" bottom="0.31597222222222221" header="0.51180555555555551" footer="0.17708333333333334"/>
  <pageSetup paperSize="9" scale="61" firstPageNumber="0" fitToHeight="15" orientation="portrait" verticalDpi="300" r:id="rId1"/>
  <headerFooter alignWithMargins="0">
    <oddFooter>&amp;C&amp;D&amp;RPage &amp;P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512-FE67-4DC5-810B-718984F04A77}">
  <sheetPr>
    <pageSetUpPr fitToPage="1"/>
  </sheetPr>
  <dimension ref="A1:G98"/>
  <sheetViews>
    <sheetView zoomScale="80" workbookViewId="0">
      <selection activeCell="A64" sqref="A64:G64"/>
    </sheetView>
  </sheetViews>
  <sheetFormatPr defaultRowHeight="13.2" x14ac:dyDescent="0.25"/>
  <cols>
    <col min="1" max="1" width="10" customWidth="1"/>
    <col min="2" max="2" width="53.21875" customWidth="1"/>
    <col min="3" max="3" width="24.5546875" customWidth="1"/>
    <col min="4" max="4" width="67.44140625" customWidth="1"/>
    <col min="5" max="5" width="42.6640625" customWidth="1"/>
    <col min="6" max="6" width="16.109375" customWidth="1"/>
    <col min="7" max="7" width="19.33203125" customWidth="1"/>
  </cols>
  <sheetData>
    <row r="1" spans="1:7" ht="40.200000000000003" customHeight="1" x14ac:dyDescent="0.25">
      <c r="A1" s="41" t="s">
        <v>4</v>
      </c>
      <c r="B1" s="42" t="s">
        <v>25</v>
      </c>
      <c r="C1" s="42" t="s">
        <v>358</v>
      </c>
      <c r="D1" s="42" t="s">
        <v>359</v>
      </c>
      <c r="E1" s="42" t="s">
        <v>525</v>
      </c>
      <c r="F1" s="42" t="s">
        <v>360</v>
      </c>
      <c r="G1" s="42" t="s">
        <v>224</v>
      </c>
    </row>
    <row r="2" spans="1:7" ht="35.4" customHeight="1" x14ac:dyDescent="0.25">
      <c r="A2" s="98" t="s">
        <v>713</v>
      </c>
      <c r="B2" s="99"/>
      <c r="C2" s="99"/>
      <c r="D2" s="99"/>
      <c r="E2" s="99"/>
      <c r="F2" s="99"/>
      <c r="G2" s="100"/>
    </row>
    <row r="3" spans="1:7" ht="27.6" x14ac:dyDescent="0.25">
      <c r="A3" s="43" t="s">
        <v>55</v>
      </c>
      <c r="B3" s="44" t="s">
        <v>9</v>
      </c>
      <c r="C3" s="45" t="s">
        <v>361</v>
      </c>
      <c r="D3" s="45" t="s">
        <v>837</v>
      </c>
      <c r="E3" s="45" t="s">
        <v>526</v>
      </c>
      <c r="F3" s="45" t="s">
        <v>362</v>
      </c>
      <c r="G3" s="45" t="s">
        <v>363</v>
      </c>
    </row>
    <row r="4" spans="1:7" ht="27.6" x14ac:dyDescent="0.25">
      <c r="A4" s="43" t="s">
        <v>56</v>
      </c>
      <c r="B4" s="44" t="s">
        <v>10</v>
      </c>
      <c r="C4" s="45" t="s">
        <v>364</v>
      </c>
      <c r="D4" s="45" t="s">
        <v>783</v>
      </c>
      <c r="E4" s="45" t="s">
        <v>527</v>
      </c>
      <c r="F4" s="45" t="s">
        <v>362</v>
      </c>
      <c r="G4" s="45" t="s">
        <v>365</v>
      </c>
    </row>
    <row r="5" spans="1:7" ht="27.6" x14ac:dyDescent="0.25">
      <c r="A5" s="43" t="s">
        <v>57</v>
      </c>
      <c r="B5" s="44" t="s">
        <v>11</v>
      </c>
      <c r="C5" s="45" t="s">
        <v>366</v>
      </c>
      <c r="D5" s="45" t="s">
        <v>367</v>
      </c>
      <c r="E5" s="45" t="s">
        <v>528</v>
      </c>
      <c r="F5" s="45" t="s">
        <v>368</v>
      </c>
      <c r="G5" s="45" t="s">
        <v>293</v>
      </c>
    </row>
    <row r="6" spans="1:7" ht="41.4" x14ac:dyDescent="0.25">
      <c r="A6" s="43" t="s">
        <v>58</v>
      </c>
      <c r="B6" s="44" t="s">
        <v>17</v>
      </c>
      <c r="C6" s="45" t="s">
        <v>369</v>
      </c>
      <c r="D6" s="45" t="s">
        <v>370</v>
      </c>
      <c r="E6" s="45" t="s">
        <v>529</v>
      </c>
      <c r="F6" s="45" t="s">
        <v>362</v>
      </c>
      <c r="G6" s="45" t="s">
        <v>371</v>
      </c>
    </row>
    <row r="7" spans="1:7" ht="27.6" x14ac:dyDescent="0.25">
      <c r="A7" s="43" t="s">
        <v>59</v>
      </c>
      <c r="B7" s="44" t="s">
        <v>12</v>
      </c>
      <c r="C7" s="45" t="s">
        <v>372</v>
      </c>
      <c r="D7" s="45" t="s">
        <v>784</v>
      </c>
      <c r="E7" s="45" t="s">
        <v>530</v>
      </c>
      <c r="F7" s="45" t="s">
        <v>373</v>
      </c>
      <c r="G7" s="45" t="s">
        <v>291</v>
      </c>
    </row>
    <row r="8" spans="1:7" ht="27.6" x14ac:dyDescent="0.25">
      <c r="A8" s="43" t="s">
        <v>60</v>
      </c>
      <c r="B8" s="44" t="s">
        <v>13</v>
      </c>
      <c r="C8" s="45" t="s">
        <v>374</v>
      </c>
      <c r="D8" s="45" t="s">
        <v>785</v>
      </c>
      <c r="E8" s="45" t="s">
        <v>531</v>
      </c>
      <c r="F8" s="45" t="s">
        <v>373</v>
      </c>
      <c r="G8" s="45" t="s">
        <v>293</v>
      </c>
    </row>
    <row r="9" spans="1:7" ht="41.4" x14ac:dyDescent="0.25">
      <c r="A9" s="43" t="s">
        <v>61</v>
      </c>
      <c r="B9" s="44" t="s">
        <v>62</v>
      </c>
      <c r="C9" s="45" t="s">
        <v>375</v>
      </c>
      <c r="D9" s="45" t="s">
        <v>786</v>
      </c>
      <c r="E9" s="45" t="s">
        <v>532</v>
      </c>
      <c r="F9" s="45" t="s">
        <v>376</v>
      </c>
      <c r="G9" s="45" t="s">
        <v>377</v>
      </c>
    </row>
    <row r="10" spans="1:7" ht="27.6" x14ac:dyDescent="0.25">
      <c r="A10" s="43" t="s">
        <v>63</v>
      </c>
      <c r="B10" s="44" t="s">
        <v>64</v>
      </c>
      <c r="C10" s="45" t="s">
        <v>378</v>
      </c>
      <c r="D10" s="45" t="s">
        <v>787</v>
      </c>
      <c r="E10" s="45" t="s">
        <v>533</v>
      </c>
      <c r="F10" s="45" t="s">
        <v>379</v>
      </c>
      <c r="G10" s="45" t="s">
        <v>380</v>
      </c>
    </row>
    <row r="11" spans="1:7" ht="27.6" x14ac:dyDescent="0.25">
      <c r="A11" s="43" t="s">
        <v>65</v>
      </c>
      <c r="B11" s="44" t="s">
        <v>66</v>
      </c>
      <c r="C11" s="45" t="s">
        <v>381</v>
      </c>
      <c r="D11" s="45" t="s">
        <v>382</v>
      </c>
      <c r="E11" s="45" t="s">
        <v>534</v>
      </c>
      <c r="F11" s="45" t="s">
        <v>376</v>
      </c>
      <c r="G11" s="45" t="s">
        <v>383</v>
      </c>
    </row>
    <row r="12" spans="1:7" ht="41.4" x14ac:dyDescent="0.25">
      <c r="A12" s="43" t="s">
        <v>67</v>
      </c>
      <c r="B12" s="44" t="s">
        <v>68</v>
      </c>
      <c r="C12" s="45" t="s">
        <v>384</v>
      </c>
      <c r="D12" s="45" t="s">
        <v>385</v>
      </c>
      <c r="E12" s="45" t="s">
        <v>535</v>
      </c>
      <c r="F12" s="45" t="s">
        <v>362</v>
      </c>
      <c r="G12" s="45" t="s">
        <v>293</v>
      </c>
    </row>
    <row r="13" spans="1:7" ht="27.6" x14ac:dyDescent="0.25">
      <c r="A13" s="43" t="s">
        <v>69</v>
      </c>
      <c r="B13" s="44" t="s">
        <v>21</v>
      </c>
      <c r="C13" s="45" t="s">
        <v>386</v>
      </c>
      <c r="D13" s="45" t="s">
        <v>387</v>
      </c>
      <c r="E13" s="45" t="s">
        <v>536</v>
      </c>
      <c r="F13" s="45" t="s">
        <v>388</v>
      </c>
      <c r="G13" s="45" t="s">
        <v>365</v>
      </c>
    </row>
    <row r="14" spans="1:7" ht="27.6" x14ac:dyDescent="0.25">
      <c r="A14" s="43" t="s">
        <v>70</v>
      </c>
      <c r="B14" s="44" t="s">
        <v>22</v>
      </c>
      <c r="C14" s="45" t="s">
        <v>389</v>
      </c>
      <c r="D14" s="45" t="s">
        <v>390</v>
      </c>
      <c r="E14" s="45" t="s">
        <v>537</v>
      </c>
      <c r="F14" s="45" t="s">
        <v>362</v>
      </c>
      <c r="G14" s="45" t="s">
        <v>293</v>
      </c>
    </row>
    <row r="15" spans="1:7" ht="27.6" x14ac:dyDescent="0.25">
      <c r="A15" s="43" t="s">
        <v>71</v>
      </c>
      <c r="B15" s="44" t="s">
        <v>23</v>
      </c>
      <c r="C15" s="45" t="s">
        <v>391</v>
      </c>
      <c r="D15" s="45" t="s">
        <v>392</v>
      </c>
      <c r="E15" s="45" t="s">
        <v>538</v>
      </c>
      <c r="F15" s="45" t="s">
        <v>373</v>
      </c>
      <c r="G15" s="45" t="s">
        <v>291</v>
      </c>
    </row>
    <row r="16" spans="1:7" ht="27.6" x14ac:dyDescent="0.25">
      <c r="A16" s="43" t="s">
        <v>72</v>
      </c>
      <c r="B16" s="44" t="s">
        <v>42</v>
      </c>
      <c r="C16" s="45" t="s">
        <v>393</v>
      </c>
      <c r="D16" s="46" t="s">
        <v>791</v>
      </c>
      <c r="E16" s="46" t="s">
        <v>539</v>
      </c>
      <c r="F16" s="45" t="s">
        <v>376</v>
      </c>
      <c r="G16" s="45" t="s">
        <v>394</v>
      </c>
    </row>
    <row r="17" spans="1:7" ht="27.6" x14ac:dyDescent="0.25">
      <c r="A17" s="43" t="s">
        <v>73</v>
      </c>
      <c r="B17" s="44" t="s">
        <v>24</v>
      </c>
      <c r="C17" s="45" t="s">
        <v>395</v>
      </c>
      <c r="D17" s="45" t="s">
        <v>788</v>
      </c>
      <c r="E17" s="45" t="s">
        <v>540</v>
      </c>
      <c r="F17" s="45" t="s">
        <v>376</v>
      </c>
      <c r="G17" s="45" t="s">
        <v>293</v>
      </c>
    </row>
    <row r="18" spans="1:7" ht="27.6" x14ac:dyDescent="0.25">
      <c r="A18" s="43" t="s">
        <v>74</v>
      </c>
      <c r="B18" s="44" t="s">
        <v>75</v>
      </c>
      <c r="C18" s="45" t="s">
        <v>396</v>
      </c>
      <c r="D18" s="45" t="s">
        <v>789</v>
      </c>
      <c r="E18" s="45" t="s">
        <v>541</v>
      </c>
      <c r="F18" s="45" t="s">
        <v>362</v>
      </c>
      <c r="G18" s="45" t="s">
        <v>293</v>
      </c>
    </row>
    <row r="19" spans="1:7" ht="27.6" x14ac:dyDescent="0.25">
      <c r="A19" s="43" t="s">
        <v>76</v>
      </c>
      <c r="B19" s="44" t="s">
        <v>77</v>
      </c>
      <c r="C19" s="45" t="s">
        <v>397</v>
      </c>
      <c r="D19" s="45" t="s">
        <v>790</v>
      </c>
      <c r="E19" s="45" t="s">
        <v>542</v>
      </c>
      <c r="F19" s="45" t="s">
        <v>376</v>
      </c>
      <c r="G19" s="45" t="s">
        <v>293</v>
      </c>
    </row>
    <row r="20" spans="1:7" ht="27.6" x14ac:dyDescent="0.25">
      <c r="A20" s="43" t="s">
        <v>78</v>
      </c>
      <c r="B20" s="44" t="s">
        <v>79</v>
      </c>
      <c r="C20" s="45" t="s">
        <v>398</v>
      </c>
      <c r="D20" s="45" t="s">
        <v>792</v>
      </c>
      <c r="E20" s="45" t="s">
        <v>543</v>
      </c>
      <c r="F20" s="45" t="s">
        <v>373</v>
      </c>
      <c r="G20" s="45" t="s">
        <v>365</v>
      </c>
    </row>
    <row r="21" spans="1:7" ht="27.6" x14ac:dyDescent="0.25">
      <c r="A21" s="43" t="s">
        <v>80</v>
      </c>
      <c r="B21" s="44" t="s">
        <v>44</v>
      </c>
      <c r="C21" s="45" t="s">
        <v>399</v>
      </c>
      <c r="D21" s="45" t="s">
        <v>400</v>
      </c>
      <c r="E21" s="45" t="s">
        <v>544</v>
      </c>
      <c r="F21" s="45" t="s">
        <v>368</v>
      </c>
      <c r="G21" s="45" t="s">
        <v>401</v>
      </c>
    </row>
    <row r="22" spans="1:7" ht="31.2" x14ac:dyDescent="0.25">
      <c r="A22" s="43" t="s">
        <v>81</v>
      </c>
      <c r="B22" s="44" t="s">
        <v>82</v>
      </c>
      <c r="C22" s="45" t="s">
        <v>402</v>
      </c>
      <c r="D22" s="45" t="s">
        <v>403</v>
      </c>
      <c r="E22" s="45" t="s">
        <v>545</v>
      </c>
      <c r="F22" s="45" t="s">
        <v>362</v>
      </c>
      <c r="G22" s="45" t="s">
        <v>404</v>
      </c>
    </row>
    <row r="23" spans="1:7" ht="41.4" x14ac:dyDescent="0.25">
      <c r="A23" s="43" t="s">
        <v>83</v>
      </c>
      <c r="B23" s="44" t="s">
        <v>202</v>
      </c>
      <c r="C23" s="45" t="s">
        <v>405</v>
      </c>
      <c r="D23" s="45" t="s">
        <v>793</v>
      </c>
      <c r="E23" s="45" t="s">
        <v>546</v>
      </c>
      <c r="F23" s="45" t="s">
        <v>373</v>
      </c>
      <c r="G23" s="45" t="s">
        <v>293</v>
      </c>
    </row>
    <row r="24" spans="1:7" ht="31.2" x14ac:dyDescent="0.25">
      <c r="A24" s="43" t="s">
        <v>84</v>
      </c>
      <c r="B24" s="44" t="s">
        <v>85</v>
      </c>
      <c r="C24" s="45" t="s">
        <v>406</v>
      </c>
      <c r="D24" s="45" t="s">
        <v>794</v>
      </c>
      <c r="E24" s="45" t="s">
        <v>547</v>
      </c>
      <c r="F24" s="45" t="s">
        <v>373</v>
      </c>
      <c r="G24" s="45" t="s">
        <v>401</v>
      </c>
    </row>
    <row r="25" spans="1:7" ht="41.4" x14ac:dyDescent="0.25">
      <c r="A25" s="43" t="s">
        <v>86</v>
      </c>
      <c r="B25" s="44" t="s">
        <v>87</v>
      </c>
      <c r="C25" s="45" t="s">
        <v>407</v>
      </c>
      <c r="D25" s="45" t="s">
        <v>795</v>
      </c>
      <c r="E25" s="45" t="s">
        <v>548</v>
      </c>
      <c r="F25" s="45" t="s">
        <v>362</v>
      </c>
      <c r="G25" s="45" t="s">
        <v>293</v>
      </c>
    </row>
    <row r="26" spans="1:7" ht="31.2" x14ac:dyDescent="0.25">
      <c r="A26" s="43" t="s">
        <v>88</v>
      </c>
      <c r="B26" s="44" t="s">
        <v>89</v>
      </c>
      <c r="C26" s="45" t="s">
        <v>408</v>
      </c>
      <c r="D26" s="45" t="s">
        <v>796</v>
      </c>
      <c r="E26" s="45" t="s">
        <v>549</v>
      </c>
      <c r="F26" s="45" t="s">
        <v>362</v>
      </c>
      <c r="G26" s="45" t="s">
        <v>293</v>
      </c>
    </row>
    <row r="27" spans="1:7" ht="31.2" x14ac:dyDescent="0.25">
      <c r="A27" s="43" t="s">
        <v>90</v>
      </c>
      <c r="B27" s="44" t="s">
        <v>91</v>
      </c>
      <c r="C27" s="45" t="s">
        <v>409</v>
      </c>
      <c r="D27" s="45" t="s">
        <v>410</v>
      </c>
      <c r="E27" s="45" t="s">
        <v>550</v>
      </c>
      <c r="F27" s="45" t="s">
        <v>411</v>
      </c>
      <c r="G27" s="45" t="s">
        <v>293</v>
      </c>
    </row>
    <row r="28" spans="1:7" ht="27.6" x14ac:dyDescent="0.25">
      <c r="A28" s="43" t="s">
        <v>92</v>
      </c>
      <c r="B28" s="44" t="s">
        <v>45</v>
      </c>
      <c r="C28" s="45" t="s">
        <v>412</v>
      </c>
      <c r="D28" s="45" t="s">
        <v>797</v>
      </c>
      <c r="E28" s="45" t="s">
        <v>552</v>
      </c>
      <c r="F28" s="45" t="s">
        <v>411</v>
      </c>
      <c r="G28" s="45" t="s">
        <v>293</v>
      </c>
    </row>
    <row r="29" spans="1:7" ht="27.6" x14ac:dyDescent="0.25">
      <c r="A29" s="43" t="s">
        <v>93</v>
      </c>
      <c r="B29" s="44" t="s">
        <v>46</v>
      </c>
      <c r="C29" s="45" t="s">
        <v>413</v>
      </c>
      <c r="D29" s="85" t="s">
        <v>800</v>
      </c>
      <c r="E29" t="s">
        <v>551</v>
      </c>
      <c r="F29" s="45" t="s">
        <v>411</v>
      </c>
      <c r="G29" s="45" t="s">
        <v>293</v>
      </c>
    </row>
    <row r="30" spans="1:7" ht="27.6" x14ac:dyDescent="0.25">
      <c r="A30" s="43" t="s">
        <v>94</v>
      </c>
      <c r="B30" s="44" t="s">
        <v>47</v>
      </c>
      <c r="C30" s="45" t="s">
        <v>414</v>
      </c>
      <c r="D30" s="45" t="s">
        <v>801</v>
      </c>
      <c r="E30" s="45" t="s">
        <v>553</v>
      </c>
      <c r="F30" s="45" t="s">
        <v>411</v>
      </c>
      <c r="G30" s="45" t="s">
        <v>415</v>
      </c>
    </row>
    <row r="31" spans="1:7" ht="27.6" x14ac:dyDescent="0.25">
      <c r="A31" s="43" t="s">
        <v>95</v>
      </c>
      <c r="B31" s="44" t="s">
        <v>96</v>
      </c>
      <c r="C31" s="45" t="s">
        <v>416</v>
      </c>
      <c r="D31" s="45" t="s">
        <v>799</v>
      </c>
      <c r="E31" s="45" t="s">
        <v>554</v>
      </c>
      <c r="F31" s="45" t="s">
        <v>362</v>
      </c>
      <c r="G31" s="45" t="s">
        <v>417</v>
      </c>
    </row>
    <row r="32" spans="1:7" ht="27.6" x14ac:dyDescent="0.25">
      <c r="A32" s="43" t="s">
        <v>97</v>
      </c>
      <c r="B32" s="44" t="s">
        <v>98</v>
      </c>
      <c r="C32" s="45" t="s">
        <v>418</v>
      </c>
      <c r="D32" s="45" t="s">
        <v>419</v>
      </c>
      <c r="E32" s="45" t="s">
        <v>555</v>
      </c>
      <c r="F32" s="45" t="s">
        <v>362</v>
      </c>
      <c r="G32" s="45" t="s">
        <v>293</v>
      </c>
    </row>
    <row r="33" spans="1:7" ht="31.2" x14ac:dyDescent="0.25">
      <c r="A33" s="43" t="s">
        <v>99</v>
      </c>
      <c r="B33" s="44" t="s">
        <v>100</v>
      </c>
      <c r="C33" s="45" t="s">
        <v>471</v>
      </c>
      <c r="D33" s="45" t="s">
        <v>472</v>
      </c>
      <c r="E33" s="45" t="s">
        <v>556</v>
      </c>
      <c r="F33" s="45" t="s">
        <v>362</v>
      </c>
      <c r="G33" s="45" t="s">
        <v>473</v>
      </c>
    </row>
    <row r="34" spans="1:7" ht="27.6" x14ac:dyDescent="0.25">
      <c r="A34" s="43" t="s">
        <v>101</v>
      </c>
      <c r="B34" s="44" t="s">
        <v>48</v>
      </c>
      <c r="C34" s="45" t="s">
        <v>474</v>
      </c>
      <c r="D34" s="45" t="s">
        <v>475</v>
      </c>
      <c r="E34" s="45" t="s">
        <v>557</v>
      </c>
      <c r="F34" s="45" t="s">
        <v>373</v>
      </c>
      <c r="G34" s="45" t="s">
        <v>476</v>
      </c>
    </row>
    <row r="35" spans="1:7" ht="27.6" x14ac:dyDescent="0.25">
      <c r="A35" s="43" t="s">
        <v>102</v>
      </c>
      <c r="B35" s="44" t="s">
        <v>49</v>
      </c>
      <c r="C35" s="45" t="s">
        <v>477</v>
      </c>
      <c r="D35" s="45" t="s">
        <v>478</v>
      </c>
      <c r="E35" s="45" t="s">
        <v>558</v>
      </c>
      <c r="F35" s="45" t="s">
        <v>362</v>
      </c>
      <c r="G35" s="45" t="s">
        <v>479</v>
      </c>
    </row>
    <row r="36" spans="1:7" ht="31.2" x14ac:dyDescent="0.25">
      <c r="A36" s="43" t="s">
        <v>103</v>
      </c>
      <c r="B36" s="44" t="s">
        <v>104</v>
      </c>
      <c r="C36" s="45" t="s">
        <v>480</v>
      </c>
      <c r="D36" s="45" t="s">
        <v>481</v>
      </c>
      <c r="E36" s="45" t="s">
        <v>559</v>
      </c>
      <c r="F36" s="45" t="s">
        <v>482</v>
      </c>
      <c r="G36" s="45" t="s">
        <v>483</v>
      </c>
    </row>
    <row r="37" spans="1:7" ht="27.6" x14ac:dyDescent="0.25">
      <c r="A37" s="43" t="s">
        <v>105</v>
      </c>
      <c r="B37" s="44" t="s">
        <v>50</v>
      </c>
      <c r="C37" s="45" t="s">
        <v>484</v>
      </c>
      <c r="D37" s="45" t="s">
        <v>485</v>
      </c>
      <c r="E37" s="45" t="s">
        <v>560</v>
      </c>
      <c r="F37" s="45" t="s">
        <v>362</v>
      </c>
      <c r="G37" s="45" t="s">
        <v>486</v>
      </c>
    </row>
    <row r="38" spans="1:7" ht="31.2" x14ac:dyDescent="0.25">
      <c r="A38" s="43" t="s">
        <v>106</v>
      </c>
      <c r="B38" s="44" t="s">
        <v>107</v>
      </c>
      <c r="C38" s="45" t="s">
        <v>487</v>
      </c>
      <c r="D38" s="45" t="s">
        <v>488</v>
      </c>
      <c r="E38" s="45" t="s">
        <v>561</v>
      </c>
      <c r="F38" s="45" t="s">
        <v>373</v>
      </c>
      <c r="G38" s="45" t="s">
        <v>473</v>
      </c>
    </row>
    <row r="39" spans="1:7" ht="27.6" x14ac:dyDescent="0.25">
      <c r="A39" s="43" t="s">
        <v>108</v>
      </c>
      <c r="B39" s="44" t="s">
        <v>34</v>
      </c>
      <c r="C39" s="45" t="s">
        <v>489</v>
      </c>
      <c r="D39" s="45" t="s">
        <v>798</v>
      </c>
      <c r="E39" s="45" t="s">
        <v>562</v>
      </c>
      <c r="F39" s="45" t="s">
        <v>368</v>
      </c>
      <c r="G39" s="45" t="s">
        <v>317</v>
      </c>
    </row>
    <row r="40" spans="1:7" ht="34.200000000000003" customHeight="1" x14ac:dyDescent="0.25">
      <c r="A40" s="98" t="s">
        <v>712</v>
      </c>
      <c r="B40" s="99"/>
      <c r="C40" s="99"/>
      <c r="D40" s="99"/>
      <c r="E40" s="99"/>
      <c r="F40" s="99"/>
      <c r="G40" s="100"/>
    </row>
    <row r="41" spans="1:7" ht="27.6" x14ac:dyDescent="0.25">
      <c r="A41" s="43" t="s">
        <v>109</v>
      </c>
      <c r="B41" s="44" t="s">
        <v>15</v>
      </c>
      <c r="C41" s="45" t="s">
        <v>420</v>
      </c>
      <c r="D41" s="45" t="s">
        <v>802</v>
      </c>
      <c r="E41" s="45" t="s">
        <v>563</v>
      </c>
      <c r="F41" s="45" t="s">
        <v>421</v>
      </c>
      <c r="G41" s="45" t="s">
        <v>287</v>
      </c>
    </row>
    <row r="42" spans="1:7" ht="27.6" x14ac:dyDescent="0.25">
      <c r="A42" s="43" t="s">
        <v>110</v>
      </c>
      <c r="B42" s="44" t="s">
        <v>16</v>
      </c>
      <c r="C42" s="45" t="s">
        <v>422</v>
      </c>
      <c r="D42" s="45" t="s">
        <v>803</v>
      </c>
      <c r="E42" s="45" t="s">
        <v>564</v>
      </c>
      <c r="F42" s="45" t="s">
        <v>421</v>
      </c>
      <c r="G42" s="45" t="s">
        <v>423</v>
      </c>
    </row>
    <row r="43" spans="1:7" ht="31.2" x14ac:dyDescent="0.25">
      <c r="A43" s="43" t="s">
        <v>111</v>
      </c>
      <c r="B43" s="44" t="s">
        <v>19</v>
      </c>
      <c r="C43" s="45" t="s">
        <v>424</v>
      </c>
      <c r="D43" s="45" t="s">
        <v>804</v>
      </c>
      <c r="E43" s="45" t="s">
        <v>565</v>
      </c>
      <c r="F43" s="45" t="s">
        <v>373</v>
      </c>
      <c r="G43" s="45" t="s">
        <v>425</v>
      </c>
    </row>
    <row r="44" spans="1:7" ht="27.6" x14ac:dyDescent="0.25">
      <c r="A44" s="43" t="s">
        <v>112</v>
      </c>
      <c r="B44" s="44" t="s">
        <v>20</v>
      </c>
      <c r="C44" s="45" t="s">
        <v>426</v>
      </c>
      <c r="D44" s="45" t="s">
        <v>805</v>
      </c>
      <c r="E44" s="45" t="s">
        <v>566</v>
      </c>
      <c r="F44" s="45" t="s">
        <v>362</v>
      </c>
      <c r="G44" s="45" t="s">
        <v>427</v>
      </c>
    </row>
    <row r="45" spans="1:7" ht="31.2" x14ac:dyDescent="0.25">
      <c r="A45" s="43" t="s">
        <v>113</v>
      </c>
      <c r="B45" s="44" t="s">
        <v>114</v>
      </c>
      <c r="C45" s="45" t="s">
        <v>428</v>
      </c>
      <c r="D45" s="45" t="s">
        <v>806</v>
      </c>
      <c r="E45" s="45" t="s">
        <v>567</v>
      </c>
      <c r="F45" s="45" t="s">
        <v>429</v>
      </c>
      <c r="G45" s="45" t="s">
        <v>425</v>
      </c>
    </row>
    <row r="46" spans="1:7" ht="27.6" x14ac:dyDescent="0.25">
      <c r="A46" s="43" t="s">
        <v>115</v>
      </c>
      <c r="B46" s="44" t="s">
        <v>116</v>
      </c>
      <c r="C46" s="45" t="s">
        <v>430</v>
      </c>
      <c r="D46" s="45" t="s">
        <v>807</v>
      </c>
      <c r="E46" s="45" t="s">
        <v>568</v>
      </c>
      <c r="F46" s="45" t="s">
        <v>431</v>
      </c>
      <c r="G46" s="45" t="s">
        <v>432</v>
      </c>
    </row>
    <row r="47" spans="1:7" ht="41.4" x14ac:dyDescent="0.25">
      <c r="A47" s="43" t="s">
        <v>117</v>
      </c>
      <c r="B47" s="44" t="s">
        <v>118</v>
      </c>
      <c r="C47" s="45" t="s">
        <v>433</v>
      </c>
      <c r="D47" s="45" t="s">
        <v>808</v>
      </c>
      <c r="E47" s="45" t="s">
        <v>569</v>
      </c>
      <c r="F47" s="45" t="s">
        <v>362</v>
      </c>
      <c r="G47" s="45" t="s">
        <v>293</v>
      </c>
    </row>
    <row r="48" spans="1:7" ht="41.4" x14ac:dyDescent="0.25">
      <c r="A48" s="43" t="s">
        <v>119</v>
      </c>
      <c r="B48" s="44" t="s">
        <v>120</v>
      </c>
      <c r="C48" s="45" t="s">
        <v>434</v>
      </c>
      <c r="D48" s="45" t="s">
        <v>809</v>
      </c>
      <c r="E48" s="45" t="s">
        <v>570</v>
      </c>
      <c r="F48" s="45" t="s">
        <v>435</v>
      </c>
      <c r="G48" s="45" t="s">
        <v>293</v>
      </c>
    </row>
    <row r="49" spans="1:7" ht="31.8" customHeight="1" x14ac:dyDescent="0.25">
      <c r="A49" s="98" t="s">
        <v>714</v>
      </c>
      <c r="B49" s="99"/>
      <c r="C49" s="99"/>
      <c r="D49" s="99"/>
      <c r="E49" s="99"/>
      <c r="F49" s="99"/>
      <c r="G49" s="100"/>
    </row>
    <row r="50" spans="1:7" ht="27.6" x14ac:dyDescent="0.25">
      <c r="A50" s="43" t="s">
        <v>142</v>
      </c>
      <c r="B50" s="44" t="s">
        <v>141</v>
      </c>
      <c r="C50" s="45" t="s">
        <v>436</v>
      </c>
      <c r="D50" s="45" t="s">
        <v>810</v>
      </c>
      <c r="E50" s="45" t="s">
        <v>571</v>
      </c>
      <c r="F50" s="45" t="s">
        <v>362</v>
      </c>
      <c r="G50" s="45" t="s">
        <v>437</v>
      </c>
    </row>
    <row r="51" spans="1:7" ht="27.6" x14ac:dyDescent="0.25">
      <c r="A51" s="43" t="s">
        <v>140</v>
      </c>
      <c r="B51" s="44" t="s">
        <v>139</v>
      </c>
      <c r="C51" s="45" t="s">
        <v>438</v>
      </c>
      <c r="D51" s="45" t="s">
        <v>812</v>
      </c>
      <c r="E51" s="45" t="s">
        <v>572</v>
      </c>
      <c r="F51" s="45" t="s">
        <v>373</v>
      </c>
      <c r="G51" s="45" t="s">
        <v>437</v>
      </c>
    </row>
    <row r="52" spans="1:7" ht="27.6" x14ac:dyDescent="0.25">
      <c r="A52" s="43" t="s">
        <v>138</v>
      </c>
      <c r="B52" s="44" t="s">
        <v>28</v>
      </c>
      <c r="C52" s="45" t="s">
        <v>439</v>
      </c>
      <c r="D52" s="45" t="s">
        <v>811</v>
      </c>
      <c r="E52" s="45" t="s">
        <v>573</v>
      </c>
      <c r="F52" s="45" t="s">
        <v>362</v>
      </c>
      <c r="G52" s="45" t="s">
        <v>437</v>
      </c>
    </row>
    <row r="53" spans="1:7" ht="41.4" x14ac:dyDescent="0.25">
      <c r="A53" s="43" t="s">
        <v>137</v>
      </c>
      <c r="B53" s="44" t="s">
        <v>136</v>
      </c>
      <c r="C53" s="45" t="s">
        <v>440</v>
      </c>
      <c r="D53" s="45" t="s">
        <v>813</v>
      </c>
      <c r="E53" s="45" t="s">
        <v>574</v>
      </c>
      <c r="F53" s="45" t="s">
        <v>373</v>
      </c>
      <c r="G53" s="45" t="s">
        <v>437</v>
      </c>
    </row>
    <row r="54" spans="1:7" ht="27.6" x14ac:dyDescent="0.25">
      <c r="A54" s="43" t="s">
        <v>135</v>
      </c>
      <c r="B54" s="44" t="s">
        <v>134</v>
      </c>
      <c r="C54" s="45" t="s">
        <v>441</v>
      </c>
      <c r="D54" s="45" t="s">
        <v>814</v>
      </c>
      <c r="E54" s="45" t="s">
        <v>575</v>
      </c>
      <c r="F54" s="45" t="s">
        <v>362</v>
      </c>
      <c r="G54" s="45" t="s">
        <v>437</v>
      </c>
    </row>
    <row r="55" spans="1:7" ht="41.4" x14ac:dyDescent="0.25">
      <c r="A55" s="43" t="s">
        <v>133</v>
      </c>
      <c r="B55" s="44" t="s">
        <v>29</v>
      </c>
      <c r="C55" s="45" t="s">
        <v>442</v>
      </c>
      <c r="D55" s="46" t="s">
        <v>815</v>
      </c>
      <c r="E55" s="45" t="s">
        <v>576</v>
      </c>
      <c r="F55" s="45" t="s">
        <v>362</v>
      </c>
      <c r="G55" s="45" t="s">
        <v>443</v>
      </c>
    </row>
    <row r="56" spans="1:7" ht="27.6" x14ac:dyDescent="0.25">
      <c r="A56" s="43" t="s">
        <v>132</v>
      </c>
      <c r="B56" s="44" t="s">
        <v>131</v>
      </c>
      <c r="C56" s="45" t="s">
        <v>444</v>
      </c>
      <c r="D56" s="45" t="s">
        <v>816</v>
      </c>
      <c r="E56" s="45" t="s">
        <v>577</v>
      </c>
      <c r="F56" s="45" t="s">
        <v>435</v>
      </c>
      <c r="G56" s="45" t="s">
        <v>445</v>
      </c>
    </row>
    <row r="57" spans="1:7" ht="27.6" x14ac:dyDescent="0.25">
      <c r="A57" s="43" t="s">
        <v>130</v>
      </c>
      <c r="B57" s="44" t="s">
        <v>30</v>
      </c>
      <c r="C57" s="45" t="s">
        <v>446</v>
      </c>
      <c r="D57" s="45" t="s">
        <v>817</v>
      </c>
      <c r="E57" s="45" t="s">
        <v>578</v>
      </c>
      <c r="F57" s="45" t="s">
        <v>362</v>
      </c>
      <c r="G57" s="45" t="s">
        <v>293</v>
      </c>
    </row>
    <row r="58" spans="1:7" ht="27.6" x14ac:dyDescent="0.25">
      <c r="A58" s="43" t="s">
        <v>129</v>
      </c>
      <c r="B58" s="44" t="s">
        <v>128</v>
      </c>
      <c r="C58" s="45" t="s">
        <v>447</v>
      </c>
      <c r="D58" s="45" t="s">
        <v>818</v>
      </c>
      <c r="E58" s="45" t="s">
        <v>579</v>
      </c>
      <c r="F58" s="45" t="s">
        <v>362</v>
      </c>
      <c r="G58" s="45" t="s">
        <v>448</v>
      </c>
    </row>
    <row r="59" spans="1:7" ht="27.6" x14ac:dyDescent="0.25">
      <c r="A59" s="43" t="s">
        <v>127</v>
      </c>
      <c r="B59" s="44" t="s">
        <v>126</v>
      </c>
      <c r="C59" s="45" t="s">
        <v>449</v>
      </c>
      <c r="D59" s="45" t="s">
        <v>819</v>
      </c>
      <c r="E59" s="45" t="s">
        <v>580</v>
      </c>
      <c r="F59" s="45" t="s">
        <v>362</v>
      </c>
      <c r="G59" s="45" t="s">
        <v>293</v>
      </c>
    </row>
    <row r="60" spans="1:7" ht="27.6" x14ac:dyDescent="0.25">
      <c r="A60" s="43" t="s">
        <v>125</v>
      </c>
      <c r="B60" s="44" t="s">
        <v>31</v>
      </c>
      <c r="C60" s="45" t="s">
        <v>450</v>
      </c>
      <c r="D60" s="45" t="s">
        <v>820</v>
      </c>
      <c r="E60" s="45" t="s">
        <v>581</v>
      </c>
      <c r="F60" s="45" t="s">
        <v>362</v>
      </c>
      <c r="G60" s="45" t="s">
        <v>437</v>
      </c>
    </row>
    <row r="61" spans="1:7" ht="27.6" x14ac:dyDescent="0.25">
      <c r="A61" s="43" t="s">
        <v>124</v>
      </c>
      <c r="B61" s="44" t="s">
        <v>32</v>
      </c>
      <c r="C61" s="45" t="s">
        <v>451</v>
      </c>
      <c r="D61" s="45" t="s">
        <v>821</v>
      </c>
      <c r="E61" s="45" t="s">
        <v>582</v>
      </c>
      <c r="F61" s="45" t="s">
        <v>362</v>
      </c>
      <c r="G61" s="45" t="s">
        <v>293</v>
      </c>
    </row>
    <row r="62" spans="1:7" ht="27.6" x14ac:dyDescent="0.25">
      <c r="A62" s="43" t="s">
        <v>123</v>
      </c>
      <c r="B62" s="44" t="s">
        <v>33</v>
      </c>
      <c r="C62" s="45" t="s">
        <v>452</v>
      </c>
      <c r="D62" s="45" t="s">
        <v>822</v>
      </c>
      <c r="E62" s="45" t="s">
        <v>583</v>
      </c>
      <c r="F62" s="45" t="s">
        <v>373</v>
      </c>
      <c r="G62" s="45" t="s">
        <v>293</v>
      </c>
    </row>
    <row r="63" spans="1:7" ht="27.6" x14ac:dyDescent="0.25">
      <c r="A63" s="43" t="s">
        <v>122</v>
      </c>
      <c r="B63" s="44" t="s">
        <v>121</v>
      </c>
      <c r="C63" s="45" t="s">
        <v>453</v>
      </c>
      <c r="D63" s="45" t="s">
        <v>835</v>
      </c>
      <c r="E63" s="45" t="s">
        <v>584</v>
      </c>
      <c r="F63" s="45" t="s">
        <v>454</v>
      </c>
      <c r="G63" s="45" t="s">
        <v>293</v>
      </c>
    </row>
    <row r="64" spans="1:7" ht="35.4" customHeight="1" x14ac:dyDescent="0.25">
      <c r="A64" s="98" t="s">
        <v>715</v>
      </c>
      <c r="B64" s="99"/>
      <c r="C64" s="99"/>
      <c r="D64" s="99"/>
      <c r="E64" s="99"/>
      <c r="F64" s="99"/>
      <c r="G64" s="100"/>
    </row>
    <row r="65" spans="1:7" ht="27.6" x14ac:dyDescent="0.25">
      <c r="A65" s="43" t="s">
        <v>143</v>
      </c>
      <c r="B65" s="44" t="s">
        <v>144</v>
      </c>
      <c r="C65" s="45" t="s">
        <v>455</v>
      </c>
      <c r="D65" s="45" t="s">
        <v>836</v>
      </c>
      <c r="E65" s="45" t="s">
        <v>585</v>
      </c>
      <c r="F65" s="45" t="s">
        <v>376</v>
      </c>
      <c r="G65" s="45" t="s">
        <v>293</v>
      </c>
    </row>
    <row r="66" spans="1:7" ht="27.6" x14ac:dyDescent="0.25">
      <c r="A66" s="43" t="s">
        <v>145</v>
      </c>
      <c r="B66" s="44" t="s">
        <v>146</v>
      </c>
      <c r="C66" s="45" t="s">
        <v>456</v>
      </c>
      <c r="D66" s="45" t="s">
        <v>834</v>
      </c>
      <c r="E66" s="45" t="s">
        <v>586</v>
      </c>
      <c r="F66" s="45" t="s">
        <v>373</v>
      </c>
      <c r="G66" s="45" t="s">
        <v>293</v>
      </c>
    </row>
    <row r="67" spans="1:7" ht="27.6" x14ac:dyDescent="0.25">
      <c r="A67" s="43" t="s">
        <v>147</v>
      </c>
      <c r="B67" s="44" t="s">
        <v>26</v>
      </c>
      <c r="C67" s="45" t="s">
        <v>457</v>
      </c>
      <c r="D67" s="45" t="s">
        <v>823</v>
      </c>
      <c r="E67" s="45" t="s">
        <v>587</v>
      </c>
      <c r="F67" s="45" t="s">
        <v>376</v>
      </c>
      <c r="G67" s="45" t="s">
        <v>293</v>
      </c>
    </row>
    <row r="68" spans="1:7" ht="27.6" x14ac:dyDescent="0.25">
      <c r="A68" s="43" t="s">
        <v>148</v>
      </c>
      <c r="B68" s="44" t="s">
        <v>149</v>
      </c>
      <c r="C68" s="45" t="s">
        <v>458</v>
      </c>
      <c r="D68" s="45" t="s">
        <v>824</v>
      </c>
      <c r="E68" s="45" t="s">
        <v>588</v>
      </c>
      <c r="F68" s="45" t="s">
        <v>373</v>
      </c>
      <c r="G68" s="45" t="s">
        <v>459</v>
      </c>
    </row>
    <row r="69" spans="1:7" ht="27.6" x14ac:dyDescent="0.25">
      <c r="A69" s="43" t="s">
        <v>150</v>
      </c>
      <c r="B69" s="44" t="s">
        <v>151</v>
      </c>
      <c r="C69" s="45" t="s">
        <v>460</v>
      </c>
      <c r="D69" s="45" t="s">
        <v>825</v>
      </c>
      <c r="E69" s="45" t="s">
        <v>589</v>
      </c>
      <c r="F69" s="45" t="s">
        <v>373</v>
      </c>
      <c r="G69" s="45" t="s">
        <v>293</v>
      </c>
    </row>
    <row r="70" spans="1:7" ht="27.6" x14ac:dyDescent="0.25">
      <c r="A70" s="43" t="s">
        <v>152</v>
      </c>
      <c r="B70" s="44" t="s">
        <v>36</v>
      </c>
      <c r="C70" s="45" t="s">
        <v>461</v>
      </c>
      <c r="D70" s="45" t="s">
        <v>826</v>
      </c>
      <c r="E70" s="45" t="s">
        <v>590</v>
      </c>
      <c r="F70" s="45" t="s">
        <v>373</v>
      </c>
      <c r="G70" s="45" t="s">
        <v>462</v>
      </c>
    </row>
    <row r="71" spans="1:7" ht="27.6" x14ac:dyDescent="0.25">
      <c r="A71" s="43" t="s">
        <v>153</v>
      </c>
      <c r="B71" s="44" t="s">
        <v>154</v>
      </c>
      <c r="C71" s="45" t="s">
        <v>463</v>
      </c>
      <c r="D71" s="45" t="s">
        <v>827</v>
      </c>
      <c r="E71" s="45" t="s">
        <v>591</v>
      </c>
      <c r="F71" s="45" t="s">
        <v>376</v>
      </c>
      <c r="G71" s="45" t="s">
        <v>293</v>
      </c>
    </row>
    <row r="72" spans="1:7" ht="27.6" x14ac:dyDescent="0.25">
      <c r="A72" s="43" t="s">
        <v>155</v>
      </c>
      <c r="B72" s="44" t="s">
        <v>40</v>
      </c>
      <c r="C72" s="45" t="s">
        <v>464</v>
      </c>
      <c r="D72" s="45" t="s">
        <v>828</v>
      </c>
      <c r="E72" s="45" t="s">
        <v>592</v>
      </c>
      <c r="F72" s="45" t="s">
        <v>376</v>
      </c>
      <c r="G72" s="45" t="s">
        <v>293</v>
      </c>
    </row>
    <row r="73" spans="1:7" ht="27.6" x14ac:dyDescent="0.25">
      <c r="A73" s="43" t="s">
        <v>156</v>
      </c>
      <c r="B73" s="44" t="s">
        <v>157</v>
      </c>
      <c r="C73" s="45" t="s">
        <v>465</v>
      </c>
      <c r="D73" s="45" t="s">
        <v>829</v>
      </c>
      <c r="E73" s="45" t="s">
        <v>593</v>
      </c>
      <c r="F73" s="45" t="s">
        <v>376</v>
      </c>
      <c r="G73" s="45" t="s">
        <v>466</v>
      </c>
    </row>
    <row r="74" spans="1:7" ht="27.6" x14ac:dyDescent="0.25">
      <c r="A74" s="43" t="s">
        <v>158</v>
      </c>
      <c r="B74" s="44" t="s">
        <v>159</v>
      </c>
      <c r="C74" s="45" t="s">
        <v>467</v>
      </c>
      <c r="D74" s="45" t="s">
        <v>830</v>
      </c>
      <c r="E74" s="45" t="s">
        <v>594</v>
      </c>
      <c r="F74" s="45" t="s">
        <v>362</v>
      </c>
      <c r="G74" s="45" t="s">
        <v>468</v>
      </c>
    </row>
    <row r="75" spans="1:7" ht="27.6" x14ac:dyDescent="0.25">
      <c r="A75" s="43" t="s">
        <v>160</v>
      </c>
      <c r="B75" s="44" t="s">
        <v>161</v>
      </c>
      <c r="C75" s="45" t="s">
        <v>469</v>
      </c>
      <c r="D75" s="46" t="s">
        <v>833</v>
      </c>
      <c r="E75" s="46" t="s">
        <v>595</v>
      </c>
      <c r="F75" s="45" t="s">
        <v>373</v>
      </c>
      <c r="G75" s="45" t="s">
        <v>293</v>
      </c>
    </row>
    <row r="76" spans="1:7" ht="27.6" x14ac:dyDescent="0.25">
      <c r="A76" s="43" t="s">
        <v>162</v>
      </c>
      <c r="B76" s="44" t="s">
        <v>163</v>
      </c>
      <c r="C76" s="45" t="s">
        <v>470</v>
      </c>
      <c r="D76" s="45" t="s">
        <v>832</v>
      </c>
      <c r="E76" s="45" t="s">
        <v>596</v>
      </c>
      <c r="F76" s="45" t="s">
        <v>373</v>
      </c>
      <c r="G76" s="45" t="s">
        <v>293</v>
      </c>
    </row>
    <row r="77" spans="1:7" ht="27.6" x14ac:dyDescent="0.25">
      <c r="A77" s="43" t="s">
        <v>164</v>
      </c>
      <c r="B77" s="44" t="s">
        <v>37</v>
      </c>
      <c r="C77" s="45" t="s">
        <v>504</v>
      </c>
      <c r="D77" s="45" t="s">
        <v>831</v>
      </c>
      <c r="E77" s="45" t="s">
        <v>597</v>
      </c>
      <c r="F77" s="45" t="s">
        <v>376</v>
      </c>
      <c r="G77" s="45" t="s">
        <v>505</v>
      </c>
    </row>
    <row r="78" spans="1:7" ht="27.6" x14ac:dyDescent="0.25">
      <c r="A78" s="43" t="s">
        <v>165</v>
      </c>
      <c r="B78" s="44" t="s">
        <v>166</v>
      </c>
      <c r="C78" s="45" t="s">
        <v>506</v>
      </c>
      <c r="D78" s="45" t="s">
        <v>507</v>
      </c>
      <c r="E78" s="45" t="s">
        <v>598</v>
      </c>
      <c r="F78" s="45" t="s">
        <v>482</v>
      </c>
      <c r="G78" s="45" t="s">
        <v>494</v>
      </c>
    </row>
    <row r="79" spans="1:7" ht="27.6" x14ac:dyDescent="0.25">
      <c r="A79" s="43" t="s">
        <v>167</v>
      </c>
      <c r="B79" s="44" t="s">
        <v>168</v>
      </c>
      <c r="C79" s="45" t="s">
        <v>508</v>
      </c>
      <c r="D79" s="45" t="s">
        <v>509</v>
      </c>
      <c r="E79" s="45" t="s">
        <v>599</v>
      </c>
      <c r="F79" s="45" t="s">
        <v>510</v>
      </c>
      <c r="G79" s="45" t="s">
        <v>503</v>
      </c>
    </row>
    <row r="80" spans="1:7" ht="28.2" thickBot="1" x14ac:dyDescent="0.3">
      <c r="A80" s="43" t="s">
        <v>169</v>
      </c>
      <c r="B80" s="44" t="s">
        <v>170</v>
      </c>
      <c r="C80" s="45" t="s">
        <v>511</v>
      </c>
      <c r="D80" s="45" t="s">
        <v>512</v>
      </c>
      <c r="E80" s="45" t="s">
        <v>600</v>
      </c>
      <c r="F80" s="45" t="s">
        <v>513</v>
      </c>
      <c r="G80" s="45" t="s">
        <v>514</v>
      </c>
    </row>
    <row r="81" spans="1:7" ht="28.2" thickBot="1" x14ac:dyDescent="0.3">
      <c r="A81" s="43" t="s">
        <v>171</v>
      </c>
      <c r="B81" s="44" t="s">
        <v>172</v>
      </c>
      <c r="C81" s="45" t="s">
        <v>515</v>
      </c>
      <c r="D81" s="45" t="s">
        <v>516</v>
      </c>
      <c r="E81" s="47" t="s">
        <v>601</v>
      </c>
      <c r="F81" s="45" t="s">
        <v>376</v>
      </c>
      <c r="G81" s="45" t="s">
        <v>517</v>
      </c>
    </row>
    <row r="82" spans="1:7" ht="28.2" thickBot="1" x14ac:dyDescent="0.3">
      <c r="A82" s="43" t="s">
        <v>173</v>
      </c>
      <c r="B82" s="44" t="s">
        <v>27</v>
      </c>
      <c r="C82" s="45" t="s">
        <v>518</v>
      </c>
      <c r="D82" s="45" t="s">
        <v>519</v>
      </c>
      <c r="E82" s="47" t="s">
        <v>602</v>
      </c>
      <c r="F82" s="45" t="s">
        <v>373</v>
      </c>
      <c r="G82" s="45" t="s">
        <v>497</v>
      </c>
    </row>
    <row r="83" spans="1:7" ht="28.2" thickBot="1" x14ac:dyDescent="0.3">
      <c r="A83" s="43" t="s">
        <v>174</v>
      </c>
      <c r="B83" s="44" t="s">
        <v>39</v>
      </c>
      <c r="C83" s="45" t="s">
        <v>520</v>
      </c>
      <c r="D83" s="45" t="s">
        <v>521</v>
      </c>
      <c r="E83" s="47" t="s">
        <v>603</v>
      </c>
      <c r="F83" s="45" t="s">
        <v>376</v>
      </c>
      <c r="G83" s="45" t="s">
        <v>317</v>
      </c>
    </row>
    <row r="84" spans="1:7" ht="28.2" thickBot="1" x14ac:dyDescent="0.3">
      <c r="A84" s="43" t="s">
        <v>175</v>
      </c>
      <c r="B84" s="44" t="s">
        <v>176</v>
      </c>
      <c r="C84" s="45" t="s">
        <v>522</v>
      </c>
      <c r="D84" s="45" t="s">
        <v>523</v>
      </c>
      <c r="E84" s="47" t="s">
        <v>604</v>
      </c>
      <c r="F84" s="45" t="s">
        <v>373</v>
      </c>
      <c r="G84" s="45" t="s">
        <v>524</v>
      </c>
    </row>
    <row r="85" spans="1:7" ht="28.2" thickBot="1" x14ac:dyDescent="0.3">
      <c r="A85" s="43" t="s">
        <v>177</v>
      </c>
      <c r="B85" s="44" t="s">
        <v>41</v>
      </c>
      <c r="C85" s="48" t="s">
        <v>619</v>
      </c>
      <c r="D85" s="48" t="s">
        <v>620</v>
      </c>
      <c r="E85" s="47" t="s">
        <v>605</v>
      </c>
      <c r="F85" s="45" t="s">
        <v>373</v>
      </c>
      <c r="G85" s="45" t="s">
        <v>524</v>
      </c>
    </row>
    <row r="86" spans="1:7" ht="28.2" thickBot="1" x14ac:dyDescent="0.3">
      <c r="A86" s="43" t="s">
        <v>178</v>
      </c>
      <c r="B86" s="44" t="s">
        <v>179</v>
      </c>
      <c r="C86" s="48" t="s">
        <v>621</v>
      </c>
      <c r="D86" s="48" t="s">
        <v>622</v>
      </c>
      <c r="E86" s="47" t="s">
        <v>606</v>
      </c>
      <c r="F86" s="45" t="s">
        <v>362</v>
      </c>
      <c r="G86" s="45" t="s">
        <v>524</v>
      </c>
    </row>
    <row r="87" spans="1:7" ht="28.2" thickBot="1" x14ac:dyDescent="0.3">
      <c r="A87" s="43" t="s">
        <v>180</v>
      </c>
      <c r="B87" s="44" t="s">
        <v>181</v>
      </c>
      <c r="C87" s="45" t="s">
        <v>501</v>
      </c>
      <c r="D87" s="45" t="s">
        <v>502</v>
      </c>
      <c r="E87" s="47" t="s">
        <v>607</v>
      </c>
      <c r="F87" s="45" t="s">
        <v>376</v>
      </c>
      <c r="G87" s="45" t="s">
        <v>503</v>
      </c>
    </row>
    <row r="88" spans="1:7" ht="28.2" thickBot="1" x14ac:dyDescent="0.3">
      <c r="A88" s="43" t="s">
        <v>182</v>
      </c>
      <c r="B88" s="44" t="s">
        <v>183</v>
      </c>
      <c r="C88" s="45" t="s">
        <v>495</v>
      </c>
      <c r="D88" s="45" t="s">
        <v>496</v>
      </c>
      <c r="E88" s="47" t="s">
        <v>608</v>
      </c>
      <c r="F88" s="45" t="s">
        <v>362</v>
      </c>
      <c r="G88" s="45" t="s">
        <v>497</v>
      </c>
    </row>
    <row r="89" spans="1:7" ht="28.2" thickBot="1" x14ac:dyDescent="0.3">
      <c r="A89" s="43" t="s">
        <v>184</v>
      </c>
      <c r="B89" s="44" t="s">
        <v>185</v>
      </c>
      <c r="C89" s="45" t="s">
        <v>498</v>
      </c>
      <c r="D89" s="45" t="s">
        <v>499</v>
      </c>
      <c r="E89" s="47" t="s">
        <v>609</v>
      </c>
      <c r="F89" s="45" t="s">
        <v>379</v>
      </c>
      <c r="G89" s="45" t="s">
        <v>500</v>
      </c>
    </row>
    <row r="90" spans="1:7" ht="27" thickBot="1" x14ac:dyDescent="0.3">
      <c r="A90" s="43" t="s">
        <v>186</v>
      </c>
      <c r="B90" s="44" t="s">
        <v>187</v>
      </c>
      <c r="C90" s="48" t="s">
        <v>623</v>
      </c>
      <c r="D90" s="48" t="s">
        <v>624</v>
      </c>
      <c r="E90" s="47" t="s">
        <v>610</v>
      </c>
      <c r="F90" s="48" t="s">
        <v>629</v>
      </c>
      <c r="G90" s="48" t="s">
        <v>630</v>
      </c>
    </row>
    <row r="91" spans="1:7" ht="27" thickBot="1" x14ac:dyDescent="0.3">
      <c r="A91" s="43" t="s">
        <v>188</v>
      </c>
      <c r="B91" s="44" t="s">
        <v>189</v>
      </c>
      <c r="C91" s="48" t="s">
        <v>625</v>
      </c>
      <c r="D91" s="48" t="s">
        <v>759</v>
      </c>
      <c r="E91" s="47" t="s">
        <v>611</v>
      </c>
      <c r="F91" s="48" t="s">
        <v>631</v>
      </c>
      <c r="G91" s="48" t="s">
        <v>632</v>
      </c>
    </row>
    <row r="92" spans="1:7" ht="27" thickBot="1" x14ac:dyDescent="0.3">
      <c r="A92" s="43" t="s">
        <v>190</v>
      </c>
      <c r="B92" s="44" t="s">
        <v>191</v>
      </c>
      <c r="C92" s="48" t="s">
        <v>626</v>
      </c>
      <c r="D92" s="48" t="s">
        <v>758</v>
      </c>
      <c r="E92" s="47" t="s">
        <v>612</v>
      </c>
      <c r="F92" s="48" t="s">
        <v>633</v>
      </c>
      <c r="G92" s="48" t="s">
        <v>634</v>
      </c>
    </row>
    <row r="93" spans="1:7" ht="27" thickBot="1" x14ac:dyDescent="0.3">
      <c r="A93" s="43" t="s">
        <v>192</v>
      </c>
      <c r="B93" s="44" t="s">
        <v>193</v>
      </c>
      <c r="C93" s="48" t="s">
        <v>627</v>
      </c>
      <c r="D93" s="48" t="s">
        <v>757</v>
      </c>
      <c r="E93" s="47" t="s">
        <v>613</v>
      </c>
      <c r="F93" s="48" t="s">
        <v>635</v>
      </c>
      <c r="G93" s="48" t="s">
        <v>636</v>
      </c>
    </row>
    <row r="94" spans="1:7" ht="27" thickBot="1" x14ac:dyDescent="0.3">
      <c r="A94" s="43" t="s">
        <v>194</v>
      </c>
      <c r="B94" s="44" t="s">
        <v>43</v>
      </c>
      <c r="C94" s="48" t="s">
        <v>628</v>
      </c>
      <c r="D94" s="48" t="s">
        <v>756</v>
      </c>
      <c r="E94" s="47" t="s">
        <v>614</v>
      </c>
      <c r="F94" s="48" t="s">
        <v>637</v>
      </c>
      <c r="G94" s="48" t="s">
        <v>638</v>
      </c>
    </row>
    <row r="95" spans="1:7" ht="31.8" thickBot="1" x14ac:dyDescent="0.3">
      <c r="A95" s="43" t="s">
        <v>195</v>
      </c>
      <c r="B95" s="44" t="s">
        <v>196</v>
      </c>
      <c r="C95" s="45" t="s">
        <v>493</v>
      </c>
      <c r="D95" s="85" t="s">
        <v>755</v>
      </c>
      <c r="E95" s="47" t="s">
        <v>615</v>
      </c>
      <c r="F95" s="45" t="s">
        <v>373</v>
      </c>
      <c r="G95" s="45" t="s">
        <v>494</v>
      </c>
    </row>
    <row r="96" spans="1:7" ht="28.2" thickBot="1" x14ac:dyDescent="0.3">
      <c r="A96" s="43" t="s">
        <v>197</v>
      </c>
      <c r="B96" s="44" t="s">
        <v>35</v>
      </c>
      <c r="C96" s="45" t="s">
        <v>490</v>
      </c>
      <c r="D96" s="85" t="s">
        <v>754</v>
      </c>
      <c r="E96" s="47" t="s">
        <v>616</v>
      </c>
      <c r="F96" s="45" t="s">
        <v>491</v>
      </c>
      <c r="G96" s="45" t="s">
        <v>492</v>
      </c>
    </row>
    <row r="97" spans="1:7" ht="27" thickBot="1" x14ac:dyDescent="0.3">
      <c r="A97" s="39" t="s">
        <v>198</v>
      </c>
      <c r="B97" s="40" t="s">
        <v>199</v>
      </c>
      <c r="C97" s="48" t="s">
        <v>698</v>
      </c>
      <c r="D97" s="48" t="s">
        <v>753</v>
      </c>
      <c r="E97" s="47" t="s">
        <v>617</v>
      </c>
      <c r="F97" s="48" t="s">
        <v>639</v>
      </c>
      <c r="G97" s="48" t="s">
        <v>640</v>
      </c>
    </row>
    <row r="98" spans="1:7" ht="27" thickBot="1" x14ac:dyDescent="0.3">
      <c r="A98" s="37" t="s">
        <v>200</v>
      </c>
      <c r="B98" s="38" t="s">
        <v>201</v>
      </c>
      <c r="C98" s="48" t="s">
        <v>697</v>
      </c>
      <c r="D98" s="48" t="s">
        <v>752</v>
      </c>
      <c r="E98" s="47" t="s">
        <v>618</v>
      </c>
      <c r="F98" s="48" t="s">
        <v>641</v>
      </c>
      <c r="G98" s="48" t="s">
        <v>642</v>
      </c>
    </row>
  </sheetData>
  <mergeCells count="4">
    <mergeCell ref="A2:G2"/>
    <mergeCell ref="A40:G40"/>
    <mergeCell ref="A49:G49"/>
    <mergeCell ref="A64:G64"/>
  </mergeCells>
  <pageMargins left="0.25" right="0.25" top="0.75" bottom="0.75" header="0.3" footer="0.3"/>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Risk Register</vt:lpstr>
      <vt:lpstr>Annex A controls &amp; Gap Analysis</vt:lpstr>
      <vt:lpstr>Security Programme</vt:lpstr>
      <vt:lpstr>'Annex A controls &amp; Gap Analysis'!__xlnm._FilterDatabase</vt:lpstr>
      <vt:lpstr>__xlnm._FilterDatabase_1</vt:lpstr>
      <vt:lpstr>'Annex A controls &amp; Gap Analysis'!__xlnm.Print_Titles</vt:lpstr>
      <vt:lpstr>ControlTotal</vt:lpstr>
      <vt:lpstr>'Annex A controls &amp; Gap Analysis'!Excel_BuiltIn_Print_Titles</vt:lpstr>
      <vt:lpstr>'Annex A controls &amp; Gap Analysis'!Print_Area</vt:lpstr>
      <vt:lpstr>'Annex A controls &amp; Gap Analysis'!Print_Titles</vt:lpstr>
    </vt:vector>
  </TitlesOfParts>
  <LinksUpToDate>false</LinksUpToDate>
  <SharedDoc>false</SharedDoc>
  <HyperlinkBase>www.ISO27001security.com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ISMS status and SoA</dc:title>
  <dc:subject>Information Security Management</dc:subject>
  <dc:creator>Gary@isect.com</dc:creator>
  <cp:keywords>ISO27k, ISMS</cp:keywords>
  <dc:description>Copyright © 2014 ISO27k Forum  See the embedded copyright notice</dc:description>
  <cp:lastModifiedBy>Usiwoghene E.</cp:lastModifiedBy>
  <cp:lastPrinted>2024-11-28T11:17:11Z</cp:lastPrinted>
  <dcterms:created xsi:type="dcterms:W3CDTF">2014-03-11T21:40:57Z</dcterms:created>
  <dcterms:modified xsi:type="dcterms:W3CDTF">2026-01-21T03:46:02Z</dcterms:modified>
  <cp:contentStatus>Part of the FREE ISO27k Toolkit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115d7e-b42c-4cb0-9d5d-d9d427f162d6_Enabled">
    <vt:lpwstr>true</vt:lpwstr>
  </property>
  <property fmtid="{D5CDD505-2E9C-101B-9397-08002B2CF9AE}" pid="3" name="MSIP_Label_b6115d7e-b42c-4cb0-9d5d-d9d427f162d6_SetDate">
    <vt:lpwstr>2022-09-11T09:19:33Z</vt:lpwstr>
  </property>
  <property fmtid="{D5CDD505-2E9C-101B-9397-08002B2CF9AE}" pid="4" name="MSIP_Label_b6115d7e-b42c-4cb0-9d5d-d9d427f162d6_Method">
    <vt:lpwstr>Standard</vt:lpwstr>
  </property>
  <property fmtid="{D5CDD505-2E9C-101B-9397-08002B2CF9AE}" pid="5" name="MSIP_Label_b6115d7e-b42c-4cb0-9d5d-d9d427f162d6_Name">
    <vt:lpwstr>Public</vt:lpwstr>
  </property>
  <property fmtid="{D5CDD505-2E9C-101B-9397-08002B2CF9AE}" pid="6" name="MSIP_Label_b6115d7e-b42c-4cb0-9d5d-d9d427f162d6_SiteId">
    <vt:lpwstr>b3df40eb-c945-4bc1-8821-0b8d9b63b14a</vt:lpwstr>
  </property>
  <property fmtid="{D5CDD505-2E9C-101B-9397-08002B2CF9AE}" pid="7" name="MSIP_Label_b6115d7e-b42c-4cb0-9d5d-d9d427f162d6_ActionId">
    <vt:lpwstr>c92806bd-9e9f-4b66-a767-d3bb61c7171b</vt:lpwstr>
  </property>
  <property fmtid="{D5CDD505-2E9C-101B-9397-08002B2CF9AE}" pid="8" name="MSIP_Label_b6115d7e-b42c-4cb0-9d5d-d9d427f162d6_ContentBits">
    <vt:lpwstr>0</vt:lpwstr>
  </property>
</Properties>
</file>